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ne.dias\Desktop\MILENE\MILENE\CURSO DIO\"/>
    </mc:Choice>
  </mc:AlternateContent>
  <xr:revisionPtr revIDLastSave="0" documentId="8_{D4BB1E6F-2343-4D87-870F-4E336F605D79}" xr6:coauthVersionLast="47" xr6:coauthVersionMax="47" xr10:uidLastSave="{00000000-0000-0000-0000-000000000000}"/>
  <bookViews>
    <workbookView xWindow="28680" yWindow="-120" windowWidth="29040" windowHeight="15840" firstSheet="3" activeTab="3" xr2:uid="{28DD5B76-0634-4F87-BE60-8BFA7EF2E23B}"/>
  </bookViews>
  <sheets>
    <sheet name="A̳ssets" sheetId="1" state="hidden" r:id="rId1"/>
    <sheet name="B̳ases" sheetId="2" state="hidden" r:id="rId2"/>
    <sheet name="Calculos " sheetId="5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5" l="1"/>
  <c r="H36" i="5"/>
  <c r="H23" i="5"/>
</calcChain>
</file>

<file path=xl/sharedStrings.xml><?xml version="1.0" encoding="utf-8"?>
<sst xmlns="http://schemas.openxmlformats.org/spreadsheetml/2006/main" count="2029" uniqueCount="323">
  <si>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</si>
  <si>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</si>
  <si>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</si>
  <si>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</si>
  <si>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</si>
  <si>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</si>
  <si>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</si>
  <si>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</si>
  <si>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</si>
  <si>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</si>
  <si>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</si>
  <si>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</si>
  <si>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</si>
  <si>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</si>
  <si>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</si>
  <si>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</si>
  <si>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</si>
  <si>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</si>
  <si>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</si>
  <si>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</si>
  <si>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</si>
  <si>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</si>
  <si>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</si>
  <si>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</si>
  <si>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</si>
  <si>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</si>
  <si>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</si>
  <si>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</si>
  <si>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</si>
  <si>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</si>
  <si>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</si>
  <si>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</si>
  <si>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</si>
  <si>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</si>
  <si>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</si>
  <si>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</si>
  <si>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</si>
  <si>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</si>
  <si>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</si>
  <si>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</si>
  <si>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</si>
  <si>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</si>
  <si>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</si>
  <si>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</si>
  <si>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</si>
  <si>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</si>
  <si>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</si>
  <si>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</si>
  <si>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</si>
  <si>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</si>
  <si>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</si>
  <si>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</si>
  <si>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</si>
  <si>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</si>
  <si>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</si>
  <si>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</si>
  <si>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</si>
  <si>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</si>
  <si>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</si>
  <si>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</si>
  <si>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</si>
  <si>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</si>
  <si>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</si>
  <si>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</si>
  <si>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</si>
  <si>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</si>
  <si>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</si>
  <si>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</si>
  <si>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</si>
  <si>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</si>
  <si>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</si>
  <si>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</si>
  <si>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</si>
  <si>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</si>
  <si>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</si>
  <si>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</si>
  <si>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</si>
  <si>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</si>
  <si>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</si>
  <si>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</si>
  <si>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</si>
  <si>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</si>
  <si>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</si>
  <si>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</si>
  <si>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</si>
  <si>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</si>
  <si>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</si>
  <si>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</si>
  <si>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</si>
  <si>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</si>
  <si>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</si>
  <si>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</si>
  <si>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</si>
  <si>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</si>
  <si>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</si>
  <si>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</si>
  <si>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</si>
  <si>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</si>
  <si>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</si>
  <si>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</si>
  <si>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</si>
  <si>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</si>
  <si>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</si>
  <si>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</si>
  <si>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</si>
  <si>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</si>
  <si>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</si>
  <si>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</si>
  <si>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</si>
  <si>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</si>
  <si>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</si>
  <si>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</si>
  <si>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</si>
  <si>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</si>
  <si>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</si>
  <si>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</si>
  <si>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</si>
  <si>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</si>
  <si>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</si>
  <si>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</si>
  <si>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</si>
  <si>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</si>
  <si>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</si>
  <si>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</si>
  <si>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</si>
  <si>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</si>
  <si>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</si>
  <si>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</si>
  <si>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</si>
  <si>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</si>
  <si>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</si>
  <si>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</si>
  <si>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</si>
  <si>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</si>
  <si>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</si>
  <si>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</si>
  <si>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</si>
  <si>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</si>
  <si>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</si>
  <si>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</si>
  <si>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</si>
  <si>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</si>
  <si>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</si>
  <si>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</si>
  <si>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</si>
  <si>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</si>
  <si>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</si>
  <si>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</si>
  <si>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</si>
  <si>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</si>
  <si>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</si>
  <si>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</si>
  <si>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</si>
  <si>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</si>
  <si>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</si>
  <si>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</si>
  <si>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</si>
  <si>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</si>
  <si>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</si>
  <si>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</si>
  <si>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</si>
  <si>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</si>
  <si>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</si>
  <si>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</si>
  <si>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</si>
  <si>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</si>
  <si>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</si>
  <si>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</si>
  <si>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</si>
  <si>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</si>
  <si>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</si>
  <si>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</si>
  <si>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</si>
  <si>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</si>
  <si>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</si>
  <si>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</si>
  <si>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</si>
  <si>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</si>
  <si>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</si>
  <si>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</si>
  <si>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</si>
  <si>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</si>
  <si>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</si>
  <si>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</si>
  <si>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</si>
  <si>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</si>
  <si>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</si>
  <si>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</si>
  <si>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</si>
  <si>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</si>
  <si>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</si>
  <si>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</si>
  <si>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</si>
  <si>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</si>
  <si>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</si>
  <si>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</si>
  <si>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</si>
  <si>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</si>
  <si>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</si>
  <si>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</si>
  <si>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</si>
  <si>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</si>
  <si>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</si>
  <si>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</si>
  <si>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</si>
  <si>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</si>
  <si>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</si>
  <si>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</si>
  <si>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</si>
  <si>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</si>
  <si>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</si>
  <si>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</si>
  <si>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</si>
  <si>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</si>
  <si>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</si>
  <si>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</si>
  <si>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</si>
  <si>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</si>
  <si>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</si>
  <si>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</si>
  <si>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</si>
  <si>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</si>
  <si>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</si>
  <si>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</si>
  <si>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</si>
  <si>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</si>
  <si>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</si>
  <si>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</si>
  <si>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</si>
  <si>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</si>
  <si>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</si>
  <si>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</si>
  <si>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</si>
  <si>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</si>
  <si>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</si>
  <si>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</si>
  <si>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</si>
  <si>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</si>
  <si>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</si>
  <si>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</si>
  <si>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</si>
  <si>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</si>
  <si>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</si>
  <si>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</si>
  <si>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</si>
  <si>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</si>
  <si>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</si>
  <si>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</si>
  <si>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</si>
  <si>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</si>
  <si>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</si>
  <si>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</si>
  <si>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</si>
  <si>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</si>
  <si>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</si>
  <si>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</si>
  <si>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</si>
  <si>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</si>
  <si>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</si>
  <si>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</si>
  <si>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</si>
  <si>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</si>
  <si>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</si>
  <si>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</si>
  <si>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</si>
  <si>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</si>
  <si>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</si>
  <si>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</si>
  <si>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</si>
  <si>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</si>
  <si>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</si>
  <si>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</si>
  <si>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</si>
  <si>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</si>
  <si>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</si>
  <si>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</si>
  <si>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</si>
  <si>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</si>
  <si>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</si>
  <si>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</si>
  <si>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</si>
  <si>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</si>
  <si>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</si>
  <si>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</si>
  <si>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</si>
  <si>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</si>
  <si>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</si>
  <si>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</si>
  <si>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</si>
  <si>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</si>
  <si>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</si>
  <si>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</si>
  <si>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</si>
  <si>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</si>
  <si>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</si>
  <si>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</si>
  <si>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</si>
  <si>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</si>
  <si>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</si>
  <si>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</si>
  <si>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</si>
  <si>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</si>
  <si>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</si>
  <si>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</si>
  <si>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</si>
  <si>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</si>
  <si>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</si>
  <si>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</si>
  <si>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</si>
  <si>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</si>
  <si>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</si>
  <si>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</si>
  <si>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</si>
  <si>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</si>
  <si>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</si>
  <si>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</si>
  <si>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QUAL FATURAMENTO TOTAL DE VENDAS DE PLANOS ANUAIS (CONTENDO TODAS AS ASSINATURAS AGREAGADAS)</t>
  </si>
  <si>
    <t>QUAL FATURAMENTO TOTAL DE VENDAS DE PLANOS ANUAIS (SEPARANDO POR AUTO APROVAÇÃO NÃO É POR AUTO RENOVAÇÃO)</t>
  </si>
  <si>
    <t>XBOX GAME PASS</t>
  </si>
  <si>
    <t>Soma de EA Play Season Pass</t>
  </si>
  <si>
    <t>TOTAL DE VENDAS DE ASSINATURAS DO MINECRAFT SEASON PASS</t>
  </si>
  <si>
    <t>Soma de Minecraft Season Pass Price</t>
  </si>
  <si>
    <t>TOTAL SUBSCRIPTIONS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</si>
</sst>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22"/>
      <color theme="9" tint="-0.499984740745262"/>
      <name val="Calibri"/>
      <family val="2"/>
    </font>
    <font>
      <b/>
      <sz val="20"/>
      <color theme="9" tint="-0.49998474074526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79998168889431442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4" fillId="0" borderId="0" xfId="0" pivotButton="1" applyFont="1"/>
    <xf numFmtId="0" fontId="4" fillId="0" borderId="0" xfId="0" applyFont="1" applyAlignment="1">
      <alignment horizontal="left"/>
    </xf>
    <xf numFmtId="44" fontId="4" fillId="0" borderId="0" xfId="0" applyNumberFormat="1" applyFont="1"/>
    <xf numFmtId="0" fontId="4" fillId="0" borderId="0" xfId="0" applyFont="1" applyAlignment="1">
      <alignment horizontal="left" indent="1"/>
    </xf>
    <xf numFmtId="0" fontId="0" fillId="7" borderId="3" xfId="0" applyFill="1" applyBorder="1"/>
    <xf numFmtId="0" fontId="0" fillId="7" borderId="0" xfId="0" applyFill="1" applyBorder="1"/>
    <xf numFmtId="164" fontId="0" fillId="0" borderId="0" xfId="0" applyNumberFormat="1"/>
    <xf numFmtId="164" fontId="4" fillId="0" borderId="0" xfId="0" applyNumberFormat="1" applyFont="1"/>
    <xf numFmtId="0" fontId="0" fillId="8" borderId="0" xfId="0" applyFill="1"/>
    <xf numFmtId="0" fontId="5" fillId="7" borderId="0" xfId="0" applyFont="1" applyFill="1"/>
    <xf numFmtId="43" fontId="6" fillId="0" borderId="0" xfId="3" applyNumberFormat="1" applyFont="1" applyBorder="1" applyAlignment="1">
      <alignment horizontal="left"/>
    </xf>
    <xf numFmtId="0" fontId="0" fillId="0" borderId="0" xfId="0" applyBorder="1"/>
  </cellXfs>
  <cellStyles count="4">
    <cellStyle name="Moeda" xfId="2" builtinId="4"/>
    <cellStyle name="Normal" xfId="0" builtinId="0"/>
    <cellStyle name="Título 1" xfId="1" builtinId="16"/>
    <cellStyle name="Total" xfId="3" builtinId="25"/>
  </cellStyles>
  <dxfs count="154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[$R$-416]\ * #,##0.00_-;\-[$R$-416]\ * #,##0.00_-;_-[$R$-416]\ * &quot;-&quot;??_-;_-@_-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-[$R$-416]\ * #,##0.00_-;\-[$R$-416]\ * #,##0.00_-;_-[$R$-416]\ * &quot;-&quot;??_-;_-@_-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  <color theme="1"/>
      </font>
      <fill>
        <patternFill>
          <bgColor theme="9" tint="-0.2499465926084170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/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4" defaultTableStyle="TableStyleMedium2" defaultPivotStyle="PivotStyleLight16">
    <tableStyle name="Estilo de Segmentação de Dados 1" pivot="0" table="0" count="1" xr9:uid="{87111E06-AFF9-46CC-AC84-32783357E968}">
      <tableStyleElement type="wholeTable" dxfId="139"/>
    </tableStyle>
    <tableStyle name="Estilo de Segmentação de Dados 2" pivot="0" table="0" count="1" xr9:uid="{7F0A3905-7D5D-45AC-A09B-DCCD27DD5606}">
      <tableStyleElement type="wholeTable" dxfId="138"/>
    </tableStyle>
    <tableStyle name="SlicerStyleDark6 2" pivot="0" table="0" count="10" xr9:uid="{4CDE47FA-DBA0-4DBC-8EC8-17784B392F1A}">
      <tableStyleElement type="wholeTable" dxfId="135"/>
      <tableStyleElement type="headerRow" dxfId="134"/>
    </tableStyle>
    <tableStyle name="SlicerStyleDark6 3" pivot="0" table="0" count="10" xr9:uid="{AB5EC6E2-2C1D-4571-8FA2-0CE6489A9DFB}">
      <tableStyleElement type="wholeTable" dxfId="137"/>
      <tableStyleElement type="headerRow" dxfId="136"/>
    </tableStyle>
  </tableStyles>
  <colors>
    <mruColors>
      <color rgb="FF2AE6B1"/>
      <color rgb="FF5BF6A8"/>
      <color rgb="FF92D050"/>
      <color rgb="FF9BC848"/>
      <color rgb="FFE8E6E9"/>
      <color rgb="FFEDEDED"/>
      <color rgb="FF22C55E"/>
      <color rgb="FF000000"/>
      <color rgb="FFE0E0E0"/>
      <color rgb="FFF7F8F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Dark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xbox.xlsx]Calculos !Tabela dinâmica1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42996710801436"/>
          <c:y val="0.15276461919715037"/>
          <c:w val="0.64827250155057436"/>
          <c:h val="0.80529176328380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'Calculos 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'Calculos '!$B$10:$B$14</c:f>
              <c:multiLvlStrCache>
                <c:ptCount val="2"/>
                <c:lvl>
                  <c:pt idx="0">
                    <c:v>Quarterly</c:v>
                  </c:pt>
                  <c:pt idx="1">
                    <c:v>Quarterly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</c:lvl>
              </c:multiLvlStrCache>
            </c:multiLvlStrRef>
          </c:cat>
          <c:val>
            <c:numRef>
              <c:f>'Calculos '!$C$10:$C$14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1-4358-BB6F-D0DF948E7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3140015"/>
        <c:axId val="1004250751"/>
      </c:barChart>
      <c:catAx>
        <c:axId val="105314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4250751"/>
        <c:crosses val="autoZero"/>
        <c:auto val="1"/>
        <c:lblAlgn val="ctr"/>
        <c:lblOffset val="100"/>
        <c:noMultiLvlLbl val="0"/>
      </c:catAx>
      <c:valAx>
        <c:axId val="10042507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5314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99058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99058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19527</xdr:colOff>
      <xdr:row>0</xdr:row>
      <xdr:rowOff>134302</xdr:rowOff>
    </xdr:from>
    <xdr:to>
      <xdr:col>0</xdr:col>
      <xdr:colOff>2307908</xdr:colOff>
      <xdr:row>4</xdr:row>
      <xdr:rowOff>53704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39F67B-4A6F-419E-B7E1-949761E29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7" y="119062"/>
          <a:ext cx="2301716" cy="764746"/>
        </a:xfrm>
        <a:prstGeom prst="rect">
          <a:avLst/>
        </a:prstGeom>
      </xdr:spPr>
    </xdr:pic>
    <xdr:clientData/>
  </xdr:twoCellAnchor>
  <xdr:twoCellAnchor>
    <xdr:from>
      <xdr:col>1</xdr:col>
      <xdr:colOff>97155</xdr:colOff>
      <xdr:row>15</xdr:row>
      <xdr:rowOff>130016</xdr:rowOff>
    </xdr:from>
    <xdr:to>
      <xdr:col>14</xdr:col>
      <xdr:colOff>401002</xdr:colOff>
      <xdr:row>36</xdr:row>
      <xdr:rowOff>69532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EF04354-8376-067B-C48A-AB00560D69FE}"/>
            </a:ext>
          </a:extLst>
        </xdr:cNvPr>
        <xdr:cNvGrpSpPr/>
      </xdr:nvGrpSpPr>
      <xdr:grpSpPr>
        <a:xfrm>
          <a:off x="2450783" y="3360420"/>
          <a:ext cx="7685722" cy="3684270"/>
          <a:chOff x="2412682" y="934402"/>
          <a:chExt cx="7950042" cy="389524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79E6983-AF04-6948-69B2-AFC4D5AA1C4F}"/>
              </a:ext>
            </a:extLst>
          </xdr:cNvPr>
          <xdr:cNvSpPr/>
        </xdr:nvSpPr>
        <xdr:spPr>
          <a:xfrm>
            <a:off x="2412682" y="934402"/>
            <a:ext cx="7950042" cy="3895249"/>
          </a:xfrm>
          <a:prstGeom prst="roundRect">
            <a:avLst>
              <a:gd name="adj" fmla="val 19725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5F256D84-40CE-476D-AF24-D4BCA6DD4FF7}"/>
              </a:ext>
            </a:extLst>
          </xdr:cNvPr>
          <xdr:cNvGraphicFramePr>
            <a:graphicFrameLocks/>
          </xdr:cNvGraphicFramePr>
        </xdr:nvGraphicFramePr>
        <xdr:xfrm>
          <a:off x="2615136" y="1534665"/>
          <a:ext cx="7197321" cy="2605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244793</xdr:colOff>
      <xdr:row>6</xdr:row>
      <xdr:rowOff>56197</xdr:rowOff>
    </xdr:from>
    <xdr:to>
      <xdr:col>0</xdr:col>
      <xdr:colOff>2116932</xdr:colOff>
      <xdr:row>18</xdr:row>
      <xdr:rowOff>60007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374FE6F7-1437-4DE4-AFE2-E6C59F1CE84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603" y="1500663"/>
              <a:ext cx="1864519" cy="23179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202882</xdr:colOff>
      <xdr:row>4</xdr:row>
      <xdr:rowOff>8571</xdr:rowOff>
    </xdr:from>
    <xdr:to>
      <xdr:col>8</xdr:col>
      <xdr:colOff>250031</xdr:colOff>
      <xdr:row>11</xdr:row>
      <xdr:rowOff>130969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76289D3F-7C8D-87C9-5018-B4517FBE1AB1}"/>
            </a:ext>
          </a:extLst>
        </xdr:cNvPr>
        <xdr:cNvGrpSpPr/>
      </xdr:nvGrpSpPr>
      <xdr:grpSpPr>
        <a:xfrm>
          <a:off x="2814161" y="855820"/>
          <a:ext cx="3682841" cy="1612584"/>
          <a:chOff x="2705100" y="867726"/>
          <a:chExt cx="3072765" cy="1519714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14581F0-9D46-6F87-CA26-264088A821EE}"/>
              </a:ext>
            </a:extLst>
          </xdr:cNvPr>
          <xdr:cNvSpPr/>
        </xdr:nvSpPr>
        <xdr:spPr>
          <a:xfrm>
            <a:off x="2705100" y="867726"/>
            <a:ext cx="3072765" cy="1519714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FF8C5057-F762-5021-EEBC-E6E371AC9013}"/>
              </a:ext>
            </a:extLst>
          </xdr:cNvPr>
          <xdr:cNvGrpSpPr/>
        </xdr:nvGrpSpPr>
        <xdr:grpSpPr>
          <a:xfrm>
            <a:off x="2720816" y="902969"/>
            <a:ext cx="3037999" cy="1308259"/>
            <a:chOff x="2720816" y="902969"/>
            <a:chExt cx="3037999" cy="1308259"/>
          </a:xfrm>
        </xdr:grpSpPr>
        <xdr:sp macro="" textlink="'Calculos '!H23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17ADD3C6-9E77-4912-8032-C4ADB205BC77}"/>
                </a:ext>
              </a:extLst>
            </xdr:cNvPr>
            <xdr:cNvSpPr/>
          </xdr:nvSpPr>
          <xdr:spPr>
            <a:xfrm>
              <a:off x="2965847" y="1169194"/>
              <a:ext cx="2281713" cy="1042034"/>
            </a:xfrm>
            <a:prstGeom prst="roundRect">
              <a:avLst>
                <a:gd name="adj" fmla="val 35540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fld id="{BF68FC12-C9A3-4580-AEB6-2A3EB647210B}" type="TxLink">
                <a:rPr lang="en-US" sz="28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 R$ 990,00 </a:t>
              </a:fld>
              <a:endParaRPr lang="pt-BR" sz="2800">
                <a:solidFill>
                  <a:schemeClr val="tx1"/>
                </a:solidFill>
              </a:endParaRPr>
            </a:p>
          </xdr:txBody>
        </xdr:sp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A6033C07-D2F4-40CE-940B-BB8EAABA8A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839812" y="1204637"/>
              <a:ext cx="530848" cy="500062"/>
            </a:xfrm>
            <a:prstGeom prst="rect">
              <a:avLst/>
            </a:prstGeom>
          </xdr:spPr>
        </xdr:pic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98FB1DD9-AF43-406A-F1A1-F840B61074E9}"/>
                </a:ext>
              </a:extLst>
            </xdr:cNvPr>
            <xdr:cNvSpPr/>
          </xdr:nvSpPr>
          <xdr:spPr>
            <a:xfrm>
              <a:off x="2720816" y="902969"/>
              <a:ext cx="3037999" cy="343377"/>
            </a:xfrm>
            <a:prstGeom prst="roundRect">
              <a:avLst>
                <a:gd name="adj" fmla="val 50000"/>
              </a:avLst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DE VENDAS EA  PLAY</a:t>
              </a:r>
              <a:r>
                <a:rPr lang="pt-BR" sz="1100" baseline="0"/>
                <a:t> </a:t>
              </a:r>
              <a:r>
                <a:rPr lang="pt-BR" sz="1100"/>
                <a:t>SEASON PLASS</a:t>
              </a:r>
            </a:p>
          </xdr:txBody>
        </xdr:sp>
      </xdr:grpSp>
    </xdr:grpSp>
    <xdr:clientData/>
  </xdr:twoCellAnchor>
  <xdr:twoCellAnchor>
    <xdr:from>
      <xdr:col>11</xdr:col>
      <xdr:colOff>146684</xdr:colOff>
      <xdr:row>4</xdr:row>
      <xdr:rowOff>31193</xdr:rowOff>
    </xdr:from>
    <xdr:to>
      <xdr:col>17</xdr:col>
      <xdr:colOff>305752</xdr:colOff>
      <xdr:row>11</xdr:row>
      <xdr:rowOff>108347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32259E26-1D24-C429-D5FE-9DEFBF11CFD1}"/>
            </a:ext>
          </a:extLst>
        </xdr:cNvPr>
        <xdr:cNvGrpSpPr/>
      </xdr:nvGrpSpPr>
      <xdr:grpSpPr>
        <a:xfrm>
          <a:off x="8217217" y="874632"/>
          <a:ext cx="3649504" cy="1565435"/>
          <a:chOff x="5970746" y="905350"/>
          <a:chExt cx="2876074" cy="1523525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107B3E42-2DDE-D600-112F-850AEEE91FFF}"/>
              </a:ext>
            </a:extLst>
          </xdr:cNvPr>
          <xdr:cNvGrpSpPr/>
        </xdr:nvGrpSpPr>
        <xdr:grpSpPr>
          <a:xfrm>
            <a:off x="5966936" y="901540"/>
            <a:ext cx="2883694" cy="1523525"/>
            <a:chOff x="5966936" y="877251"/>
            <a:chExt cx="2889409" cy="1512095"/>
          </a:xfrm>
        </xdr:grpSpPr>
        <xdr:sp macro="" textlink="'Calculos '!H46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071DD0F4-AC2A-5935-982F-FFE802312132}"/>
                </a:ext>
              </a:extLst>
            </xdr:cNvPr>
            <xdr:cNvSpPr/>
          </xdr:nvSpPr>
          <xdr:spPr>
            <a:xfrm>
              <a:off x="5976937" y="881063"/>
              <a:ext cx="2879408" cy="150828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FE93149-3F0F-410F-AAD5-C4B1B850707F}" type="TxLink">
                <a:rPr lang="en-US" sz="3600" b="0" i="0" u="none" strike="noStrike">
                  <a:solidFill>
                    <a:srgbClr val="000000"/>
                  </a:solidFill>
                  <a:latin typeface="Aptos Narrow"/>
                </a:rPr>
                <a:t> R$ 1.140,00 </a:t>
              </a:fld>
              <a:endParaRPr lang="pt-BR" sz="3600"/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37ADF861-D286-C42C-50B2-935BEA642130}"/>
                </a:ext>
              </a:extLst>
            </xdr:cNvPr>
            <xdr:cNvSpPr/>
          </xdr:nvSpPr>
          <xdr:spPr>
            <a:xfrm>
              <a:off x="5966936" y="877251"/>
              <a:ext cx="2885122" cy="379096"/>
            </a:xfrm>
            <a:prstGeom prst="roundRect">
              <a:avLst>
                <a:gd name="adj" fmla="val 50000"/>
              </a:avLst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 ASSINATURAS DO MINECRAFT SEASON PASS</a:t>
              </a: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95BBE885-CE28-4BB5-82DC-C28824B8782F}"/>
              </a:ext>
            </a:extLst>
          </xdr:cNvPr>
          <xdr:cNvGrpSpPr/>
        </xdr:nvGrpSpPr>
        <xdr:grpSpPr>
          <a:xfrm>
            <a:off x="6006465" y="1327786"/>
            <a:ext cx="490537" cy="347185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4472C082-1E7A-E41D-56E8-32CD7FE74E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81FA5000-E79F-3B93-E7E6-B8C3B1E2FD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ene Lima Dias" refreshedDate="46303.461209027781" createdVersion="8" refreshedVersion="8" minRefreshableVersion="3" recordCount="295" xr:uid="{D7F11A63-09BF-4894-8EC8-BCF73B77AAC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96162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x v="0"/>
    <n v="20"/>
    <n v="5"/>
    <n v="60"/>
  </r>
  <r>
    <n v="3232"/>
    <x v="1"/>
    <x v="1"/>
    <d v="2024-01-15T00:00:00"/>
    <x v="1"/>
    <n v="5"/>
    <x v="1"/>
    <s v="No"/>
    <s v="-"/>
    <x v="1"/>
    <n v="0"/>
    <n v="0"/>
    <n v="5"/>
  </r>
  <r>
    <n v="3233"/>
    <x v="2"/>
    <x v="2"/>
    <d v="2024-02-10T00:00:00"/>
    <x v="0"/>
    <n v="10"/>
    <x v="2"/>
    <s v="No"/>
    <s v="-"/>
    <x v="0"/>
    <n v="20"/>
    <n v="10"/>
    <n v="20"/>
  </r>
  <r>
    <n v="3234"/>
    <x v="3"/>
    <x v="0"/>
    <d v="2024-02-20T00:00:00"/>
    <x v="1"/>
    <n v="15"/>
    <x v="0"/>
    <s v="Yes"/>
    <n v="30"/>
    <x v="0"/>
    <n v="20"/>
    <n v="3"/>
    <n v="62"/>
  </r>
  <r>
    <n v="3235"/>
    <x v="4"/>
    <x v="1"/>
    <d v="2024-03-05T00:00:00"/>
    <x v="0"/>
    <n v="5"/>
    <x v="0"/>
    <s v="No"/>
    <s v="-"/>
    <x v="1"/>
    <n v="0"/>
    <n v="1"/>
    <n v="4"/>
  </r>
  <r>
    <n v="3236"/>
    <x v="5"/>
    <x v="2"/>
    <d v="2024-03-02T00:00:00"/>
    <x v="1"/>
    <n v="10"/>
    <x v="0"/>
    <s v="No"/>
    <s v="-"/>
    <x v="0"/>
    <n v="20"/>
    <n v="2"/>
    <n v="28"/>
  </r>
  <r>
    <n v="3237"/>
    <x v="6"/>
    <x v="0"/>
    <d v="2024-03-03T00:00:00"/>
    <x v="0"/>
    <n v="15"/>
    <x v="2"/>
    <s v="Yes"/>
    <n v="30"/>
    <x v="0"/>
    <n v="20"/>
    <n v="10"/>
    <n v="55"/>
  </r>
  <r>
    <n v="3238"/>
    <x v="7"/>
    <x v="1"/>
    <d v="2024-03-04T00:00:00"/>
    <x v="0"/>
    <n v="5"/>
    <x v="1"/>
    <s v="No"/>
    <s v="-"/>
    <x v="1"/>
    <n v="0"/>
    <n v="0"/>
    <n v="5"/>
  </r>
  <r>
    <n v="3239"/>
    <x v="8"/>
    <x v="0"/>
    <d v="2024-03-05T00:00:00"/>
    <x v="1"/>
    <n v="15"/>
    <x v="0"/>
    <s v="Yes"/>
    <n v="30"/>
    <x v="0"/>
    <n v="20"/>
    <n v="5"/>
    <n v="60"/>
  </r>
  <r>
    <n v="3240"/>
    <x v="9"/>
    <x v="2"/>
    <d v="2024-03-06T00:00:00"/>
    <x v="0"/>
    <n v="10"/>
    <x v="2"/>
    <s v="No"/>
    <s v="-"/>
    <x v="0"/>
    <n v="20"/>
    <n v="15"/>
    <n v="15"/>
  </r>
  <r>
    <n v="3241"/>
    <x v="10"/>
    <x v="1"/>
    <d v="2024-03-07T00:00:00"/>
    <x v="1"/>
    <n v="5"/>
    <x v="0"/>
    <s v="No"/>
    <s v="-"/>
    <x v="1"/>
    <n v="0"/>
    <n v="1"/>
    <n v="4"/>
  </r>
  <r>
    <n v="3242"/>
    <x v="11"/>
    <x v="0"/>
    <d v="2024-03-08T00:00:00"/>
    <x v="0"/>
    <n v="15"/>
    <x v="1"/>
    <s v="Yes"/>
    <n v="30"/>
    <x v="0"/>
    <n v="20"/>
    <n v="20"/>
    <n v="45"/>
  </r>
  <r>
    <n v="3243"/>
    <x v="12"/>
    <x v="2"/>
    <d v="2024-03-09T00:00:00"/>
    <x v="1"/>
    <n v="10"/>
    <x v="0"/>
    <s v="No"/>
    <s v="-"/>
    <x v="0"/>
    <n v="20"/>
    <n v="10"/>
    <n v="20"/>
  </r>
  <r>
    <n v="3244"/>
    <x v="13"/>
    <x v="1"/>
    <d v="2024-03-10T00:00:00"/>
    <x v="0"/>
    <n v="5"/>
    <x v="2"/>
    <s v="No"/>
    <s v="-"/>
    <x v="1"/>
    <n v="0"/>
    <n v="0"/>
    <n v="5"/>
  </r>
  <r>
    <n v="3245"/>
    <x v="14"/>
    <x v="0"/>
    <d v="2024-03-11T00:00:00"/>
    <x v="1"/>
    <n v="15"/>
    <x v="0"/>
    <s v="Yes"/>
    <n v="30"/>
    <x v="0"/>
    <n v="20"/>
    <n v="8"/>
    <n v="57"/>
  </r>
  <r>
    <n v="3246"/>
    <x v="15"/>
    <x v="2"/>
    <d v="2024-03-12T00:00:00"/>
    <x v="0"/>
    <n v="10"/>
    <x v="1"/>
    <s v="No"/>
    <s v="-"/>
    <x v="0"/>
    <n v="20"/>
    <n v="12"/>
    <n v="18"/>
  </r>
  <r>
    <n v="3247"/>
    <x v="16"/>
    <x v="1"/>
    <d v="2024-03-13T00:00:00"/>
    <x v="1"/>
    <n v="5"/>
    <x v="0"/>
    <s v="No"/>
    <s v="-"/>
    <x v="1"/>
    <n v="0"/>
    <n v="2"/>
    <n v="3"/>
  </r>
  <r>
    <n v="3248"/>
    <x v="17"/>
    <x v="0"/>
    <d v="2024-03-14T00:00:00"/>
    <x v="0"/>
    <n v="15"/>
    <x v="2"/>
    <s v="Yes"/>
    <n v="30"/>
    <x v="0"/>
    <n v="20"/>
    <n v="7"/>
    <n v="58"/>
  </r>
  <r>
    <n v="3249"/>
    <x v="18"/>
    <x v="2"/>
    <d v="2024-03-15T00:00:00"/>
    <x v="1"/>
    <n v="10"/>
    <x v="0"/>
    <s v="No"/>
    <s v="-"/>
    <x v="0"/>
    <n v="20"/>
    <n v="5"/>
    <n v="25"/>
  </r>
  <r>
    <n v="3250"/>
    <x v="19"/>
    <x v="1"/>
    <d v="2024-03-16T00:00:00"/>
    <x v="0"/>
    <n v="5"/>
    <x v="1"/>
    <s v="No"/>
    <s v="-"/>
    <x v="1"/>
    <n v="0"/>
    <n v="0"/>
    <n v="5"/>
  </r>
  <r>
    <n v="3251"/>
    <x v="20"/>
    <x v="0"/>
    <d v="2024-03-17T00:00:00"/>
    <x v="1"/>
    <n v="15"/>
    <x v="0"/>
    <s v="Yes"/>
    <n v="30"/>
    <x v="0"/>
    <n v="20"/>
    <n v="3"/>
    <n v="62"/>
  </r>
  <r>
    <n v="3252"/>
    <x v="21"/>
    <x v="2"/>
    <d v="2024-03-18T00:00:00"/>
    <x v="0"/>
    <n v="10"/>
    <x v="2"/>
    <s v="No"/>
    <s v="-"/>
    <x v="0"/>
    <n v="20"/>
    <n v="15"/>
    <n v="15"/>
  </r>
  <r>
    <n v="3253"/>
    <x v="22"/>
    <x v="1"/>
    <d v="2024-03-19T00:00:00"/>
    <x v="1"/>
    <n v="5"/>
    <x v="0"/>
    <s v="No"/>
    <s v="-"/>
    <x v="1"/>
    <n v="0"/>
    <n v="1"/>
    <n v="4"/>
  </r>
  <r>
    <n v="3254"/>
    <x v="23"/>
    <x v="0"/>
    <d v="2024-03-20T00:00:00"/>
    <x v="0"/>
    <n v="15"/>
    <x v="1"/>
    <s v="Yes"/>
    <n v="30"/>
    <x v="0"/>
    <n v="20"/>
    <n v="20"/>
    <n v="45"/>
  </r>
  <r>
    <n v="3255"/>
    <x v="24"/>
    <x v="2"/>
    <d v="2024-03-21T00:00:00"/>
    <x v="1"/>
    <n v="10"/>
    <x v="0"/>
    <s v="No"/>
    <s v="-"/>
    <x v="0"/>
    <n v="20"/>
    <n v="10"/>
    <n v="20"/>
  </r>
  <r>
    <n v="3256"/>
    <x v="25"/>
    <x v="1"/>
    <d v="2024-03-22T00:00:00"/>
    <x v="0"/>
    <n v="5"/>
    <x v="2"/>
    <s v="No"/>
    <s v="-"/>
    <x v="1"/>
    <n v="0"/>
    <n v="0"/>
    <n v="5"/>
  </r>
  <r>
    <n v="3257"/>
    <x v="26"/>
    <x v="0"/>
    <d v="2024-03-23T00:00:00"/>
    <x v="1"/>
    <n v="15"/>
    <x v="0"/>
    <s v="Yes"/>
    <n v="30"/>
    <x v="0"/>
    <n v="20"/>
    <n v="5"/>
    <n v="60"/>
  </r>
  <r>
    <n v="3258"/>
    <x v="27"/>
    <x v="2"/>
    <d v="2024-03-24T00:00:00"/>
    <x v="0"/>
    <n v="10"/>
    <x v="1"/>
    <s v="No"/>
    <s v="-"/>
    <x v="0"/>
    <n v="20"/>
    <n v="15"/>
    <n v="15"/>
  </r>
  <r>
    <n v="3259"/>
    <x v="28"/>
    <x v="1"/>
    <d v="2024-03-25T00:00:00"/>
    <x v="1"/>
    <n v="5"/>
    <x v="0"/>
    <s v="No"/>
    <s v="-"/>
    <x v="1"/>
    <n v="0"/>
    <n v="1"/>
    <n v="4"/>
  </r>
  <r>
    <n v="3260"/>
    <x v="29"/>
    <x v="0"/>
    <d v="2024-03-26T00:00:00"/>
    <x v="0"/>
    <n v="15"/>
    <x v="2"/>
    <s v="Yes"/>
    <n v="30"/>
    <x v="0"/>
    <n v="20"/>
    <n v="7"/>
    <n v="58"/>
  </r>
  <r>
    <n v="3261"/>
    <x v="30"/>
    <x v="2"/>
    <d v="2024-03-27T00:00:00"/>
    <x v="1"/>
    <n v="10"/>
    <x v="0"/>
    <s v="No"/>
    <s v="-"/>
    <x v="0"/>
    <n v="20"/>
    <n v="10"/>
    <n v="20"/>
  </r>
  <r>
    <n v="3262"/>
    <x v="31"/>
    <x v="1"/>
    <d v="2024-03-28T00:00:00"/>
    <x v="0"/>
    <n v="5"/>
    <x v="1"/>
    <s v="No"/>
    <s v="-"/>
    <x v="1"/>
    <n v="0"/>
    <n v="0"/>
    <n v="5"/>
  </r>
  <r>
    <n v="3263"/>
    <x v="32"/>
    <x v="0"/>
    <d v="2024-03-29T00:00:00"/>
    <x v="1"/>
    <n v="15"/>
    <x v="0"/>
    <s v="Yes"/>
    <n v="30"/>
    <x v="0"/>
    <n v="20"/>
    <n v="3"/>
    <n v="62"/>
  </r>
  <r>
    <n v="3264"/>
    <x v="33"/>
    <x v="2"/>
    <d v="2024-03-30T00:00:00"/>
    <x v="0"/>
    <n v="10"/>
    <x v="2"/>
    <s v="No"/>
    <s v="-"/>
    <x v="0"/>
    <n v="20"/>
    <n v="15"/>
    <n v="15"/>
  </r>
  <r>
    <n v="3265"/>
    <x v="34"/>
    <x v="1"/>
    <d v="2024-03-31T00:00:00"/>
    <x v="1"/>
    <n v="5"/>
    <x v="0"/>
    <s v="No"/>
    <s v="-"/>
    <x v="1"/>
    <n v="0"/>
    <n v="1"/>
    <n v="4"/>
  </r>
  <r>
    <n v="3266"/>
    <x v="35"/>
    <x v="1"/>
    <d v="2024-04-01T00:00:00"/>
    <x v="0"/>
    <n v="5"/>
    <x v="0"/>
    <s v="No"/>
    <s v="-"/>
    <x v="1"/>
    <n v="0"/>
    <n v="0"/>
    <n v="5"/>
  </r>
  <r>
    <n v="3267"/>
    <x v="36"/>
    <x v="0"/>
    <d v="2024-04-02T00:00:00"/>
    <x v="1"/>
    <n v="15"/>
    <x v="2"/>
    <s v="Yes"/>
    <n v="30"/>
    <x v="0"/>
    <n v="20"/>
    <n v="7"/>
    <n v="58"/>
  </r>
  <r>
    <n v="3268"/>
    <x v="37"/>
    <x v="2"/>
    <d v="2024-04-03T00:00:00"/>
    <x v="0"/>
    <n v="10"/>
    <x v="1"/>
    <s v="No"/>
    <s v="-"/>
    <x v="0"/>
    <n v="20"/>
    <n v="10"/>
    <n v="20"/>
  </r>
  <r>
    <n v="3269"/>
    <x v="38"/>
    <x v="1"/>
    <d v="2024-04-04T00:00:00"/>
    <x v="1"/>
    <n v="5"/>
    <x v="2"/>
    <s v="No"/>
    <s v="-"/>
    <x v="1"/>
    <n v="0"/>
    <n v="1"/>
    <n v="4"/>
  </r>
  <r>
    <n v="3270"/>
    <x v="39"/>
    <x v="0"/>
    <d v="2024-04-05T00:00:00"/>
    <x v="0"/>
    <n v="15"/>
    <x v="0"/>
    <s v="Yes"/>
    <n v="30"/>
    <x v="0"/>
    <n v="20"/>
    <n v="15"/>
    <n v="50"/>
  </r>
  <r>
    <n v="3271"/>
    <x v="40"/>
    <x v="2"/>
    <d v="2024-04-06T00:00:00"/>
    <x v="1"/>
    <n v="10"/>
    <x v="0"/>
    <s v="No"/>
    <s v="-"/>
    <x v="0"/>
    <n v="20"/>
    <n v="5"/>
    <n v="25"/>
  </r>
  <r>
    <n v="3272"/>
    <x v="41"/>
    <x v="1"/>
    <d v="2024-04-07T00:00:00"/>
    <x v="0"/>
    <n v="5"/>
    <x v="1"/>
    <s v="No"/>
    <s v="-"/>
    <x v="1"/>
    <n v="0"/>
    <n v="0"/>
    <n v="5"/>
  </r>
  <r>
    <n v="3273"/>
    <x v="42"/>
    <x v="0"/>
    <d v="2024-04-08T00:00:00"/>
    <x v="1"/>
    <n v="15"/>
    <x v="2"/>
    <s v="Yes"/>
    <n v="30"/>
    <x v="0"/>
    <n v="20"/>
    <n v="20"/>
    <n v="45"/>
  </r>
  <r>
    <n v="3274"/>
    <x v="43"/>
    <x v="2"/>
    <d v="2024-04-09T00:00:00"/>
    <x v="0"/>
    <n v="10"/>
    <x v="2"/>
    <s v="No"/>
    <s v="-"/>
    <x v="0"/>
    <n v="20"/>
    <n v="12"/>
    <n v="18"/>
  </r>
  <r>
    <n v="3275"/>
    <x v="44"/>
    <x v="1"/>
    <d v="2024-04-10T00:00:00"/>
    <x v="1"/>
    <n v="5"/>
    <x v="0"/>
    <s v="No"/>
    <s v="-"/>
    <x v="1"/>
    <n v="0"/>
    <n v="2"/>
    <n v="3"/>
  </r>
  <r>
    <n v="3276"/>
    <x v="45"/>
    <x v="0"/>
    <d v="2024-04-11T00:00:00"/>
    <x v="0"/>
    <n v="15"/>
    <x v="1"/>
    <s v="Yes"/>
    <n v="30"/>
    <x v="0"/>
    <n v="20"/>
    <n v="5"/>
    <n v="60"/>
  </r>
  <r>
    <n v="3277"/>
    <x v="46"/>
    <x v="2"/>
    <d v="2024-04-12T00:00:00"/>
    <x v="1"/>
    <n v="10"/>
    <x v="0"/>
    <s v="No"/>
    <s v="-"/>
    <x v="0"/>
    <n v="20"/>
    <n v="10"/>
    <n v="20"/>
  </r>
  <r>
    <n v="3278"/>
    <x v="47"/>
    <x v="1"/>
    <d v="2024-04-13T00:00:00"/>
    <x v="0"/>
    <n v="5"/>
    <x v="2"/>
    <s v="No"/>
    <s v="-"/>
    <x v="1"/>
    <n v="0"/>
    <n v="0"/>
    <n v="5"/>
  </r>
  <r>
    <n v="3279"/>
    <x v="48"/>
    <x v="0"/>
    <d v="2024-04-14T00:00:00"/>
    <x v="1"/>
    <n v="15"/>
    <x v="0"/>
    <s v="Yes"/>
    <n v="30"/>
    <x v="0"/>
    <n v="20"/>
    <n v="3"/>
    <n v="62"/>
  </r>
  <r>
    <n v="3280"/>
    <x v="49"/>
    <x v="2"/>
    <d v="2024-04-15T00:00:00"/>
    <x v="0"/>
    <n v="10"/>
    <x v="1"/>
    <s v="No"/>
    <s v="-"/>
    <x v="0"/>
    <n v="20"/>
    <n v="15"/>
    <n v="15"/>
  </r>
  <r>
    <n v="3281"/>
    <x v="50"/>
    <x v="1"/>
    <d v="2024-04-16T00:00:00"/>
    <x v="1"/>
    <n v="5"/>
    <x v="0"/>
    <s v="No"/>
    <s v="-"/>
    <x v="1"/>
    <n v="0"/>
    <n v="1"/>
    <n v="4"/>
  </r>
  <r>
    <n v="3282"/>
    <x v="51"/>
    <x v="0"/>
    <d v="2024-04-17T00:00:00"/>
    <x v="0"/>
    <n v="15"/>
    <x v="2"/>
    <s v="Yes"/>
    <n v="30"/>
    <x v="0"/>
    <n v="20"/>
    <n v="7"/>
    <n v="58"/>
  </r>
  <r>
    <n v="3283"/>
    <x v="52"/>
    <x v="2"/>
    <d v="2024-04-18T00:00:00"/>
    <x v="1"/>
    <n v="10"/>
    <x v="0"/>
    <s v="No"/>
    <s v="-"/>
    <x v="0"/>
    <n v="20"/>
    <n v="10"/>
    <n v="20"/>
  </r>
  <r>
    <n v="3284"/>
    <x v="53"/>
    <x v="1"/>
    <d v="2024-04-19T00:00:00"/>
    <x v="0"/>
    <n v="5"/>
    <x v="1"/>
    <s v="No"/>
    <s v="-"/>
    <x v="1"/>
    <n v="0"/>
    <n v="0"/>
    <n v="5"/>
  </r>
  <r>
    <n v="3285"/>
    <x v="54"/>
    <x v="0"/>
    <d v="2024-04-20T00:00:00"/>
    <x v="1"/>
    <n v="15"/>
    <x v="0"/>
    <s v="Yes"/>
    <n v="30"/>
    <x v="0"/>
    <n v="20"/>
    <n v="20"/>
    <n v="45"/>
  </r>
  <r>
    <n v="3286"/>
    <x v="55"/>
    <x v="2"/>
    <d v="2024-04-21T00:00:00"/>
    <x v="0"/>
    <n v="10"/>
    <x v="2"/>
    <s v="No"/>
    <s v="-"/>
    <x v="0"/>
    <n v="20"/>
    <n v="15"/>
    <n v="15"/>
  </r>
  <r>
    <n v="3287"/>
    <x v="56"/>
    <x v="1"/>
    <d v="2024-04-22T00:00:00"/>
    <x v="1"/>
    <n v="5"/>
    <x v="0"/>
    <s v="No"/>
    <s v="-"/>
    <x v="1"/>
    <n v="0"/>
    <n v="1"/>
    <n v="4"/>
  </r>
  <r>
    <n v="3288"/>
    <x v="57"/>
    <x v="0"/>
    <d v="2024-04-23T00:00:00"/>
    <x v="0"/>
    <n v="15"/>
    <x v="1"/>
    <s v="Yes"/>
    <n v="30"/>
    <x v="0"/>
    <n v="20"/>
    <n v="3"/>
    <n v="62"/>
  </r>
  <r>
    <n v="3289"/>
    <x v="58"/>
    <x v="2"/>
    <d v="2024-04-24T00:00:00"/>
    <x v="1"/>
    <n v="10"/>
    <x v="0"/>
    <s v="No"/>
    <s v="-"/>
    <x v="0"/>
    <n v="20"/>
    <n v="10"/>
    <n v="20"/>
  </r>
  <r>
    <n v="3290"/>
    <x v="59"/>
    <x v="1"/>
    <d v="2024-04-25T00:00:00"/>
    <x v="0"/>
    <n v="5"/>
    <x v="2"/>
    <s v="No"/>
    <s v="-"/>
    <x v="1"/>
    <n v="0"/>
    <n v="0"/>
    <n v="5"/>
  </r>
  <r>
    <n v="3291"/>
    <x v="60"/>
    <x v="0"/>
    <d v="2024-04-26T00:00:00"/>
    <x v="1"/>
    <n v="15"/>
    <x v="0"/>
    <s v="Yes"/>
    <n v="30"/>
    <x v="0"/>
    <n v="20"/>
    <n v="5"/>
    <n v="60"/>
  </r>
  <r>
    <n v="3292"/>
    <x v="61"/>
    <x v="2"/>
    <d v="2024-04-27T00:00:00"/>
    <x v="0"/>
    <n v="10"/>
    <x v="1"/>
    <s v="No"/>
    <s v="-"/>
    <x v="0"/>
    <n v="20"/>
    <n v="15"/>
    <n v="15"/>
  </r>
  <r>
    <n v="3293"/>
    <x v="62"/>
    <x v="1"/>
    <d v="2024-04-28T00:00:00"/>
    <x v="1"/>
    <n v="5"/>
    <x v="0"/>
    <s v="No"/>
    <s v="-"/>
    <x v="1"/>
    <n v="0"/>
    <n v="1"/>
    <n v="4"/>
  </r>
  <r>
    <n v="3294"/>
    <x v="63"/>
    <x v="0"/>
    <d v="2024-04-29T00:00:00"/>
    <x v="0"/>
    <n v="15"/>
    <x v="2"/>
    <s v="Yes"/>
    <n v="30"/>
    <x v="0"/>
    <n v="20"/>
    <n v="20"/>
    <n v="45"/>
  </r>
  <r>
    <n v="3295"/>
    <x v="64"/>
    <x v="2"/>
    <d v="2024-04-30T00:00:00"/>
    <x v="1"/>
    <n v="10"/>
    <x v="0"/>
    <s v="No"/>
    <s v="-"/>
    <x v="0"/>
    <n v="20"/>
    <n v="5"/>
    <n v="25"/>
  </r>
  <r>
    <n v="3296"/>
    <x v="65"/>
    <x v="1"/>
    <d v="2024-05-01T00:00:00"/>
    <x v="1"/>
    <n v="5"/>
    <x v="0"/>
    <s v="No"/>
    <s v="-"/>
    <x v="1"/>
    <n v="0"/>
    <n v="0"/>
    <n v="5"/>
  </r>
  <r>
    <n v="3297"/>
    <x v="66"/>
    <x v="0"/>
    <d v="2024-05-02T00:00:00"/>
    <x v="0"/>
    <n v="15"/>
    <x v="2"/>
    <s v="Yes"/>
    <n v="30"/>
    <x v="0"/>
    <n v="20"/>
    <n v="7"/>
    <n v="58"/>
  </r>
  <r>
    <n v="3298"/>
    <x v="67"/>
    <x v="2"/>
    <d v="2024-05-03T00:00:00"/>
    <x v="1"/>
    <n v="10"/>
    <x v="1"/>
    <s v="No"/>
    <s v="-"/>
    <x v="0"/>
    <n v="20"/>
    <n v="10"/>
    <n v="20"/>
  </r>
  <r>
    <n v="3299"/>
    <x v="68"/>
    <x v="1"/>
    <d v="2024-05-04T00:00:00"/>
    <x v="0"/>
    <n v="5"/>
    <x v="2"/>
    <s v="No"/>
    <s v="-"/>
    <x v="1"/>
    <n v="0"/>
    <n v="1"/>
    <n v="4"/>
  </r>
  <r>
    <n v="3300"/>
    <x v="69"/>
    <x v="0"/>
    <d v="2024-05-05T00:00:00"/>
    <x v="1"/>
    <n v="15"/>
    <x v="0"/>
    <s v="Yes"/>
    <n v="30"/>
    <x v="0"/>
    <n v="20"/>
    <n v="15"/>
    <n v="50"/>
  </r>
  <r>
    <n v="3301"/>
    <x v="70"/>
    <x v="2"/>
    <d v="2024-05-06T00:00:00"/>
    <x v="0"/>
    <n v="10"/>
    <x v="0"/>
    <s v="No"/>
    <s v="-"/>
    <x v="0"/>
    <n v="20"/>
    <n v="5"/>
    <n v="25"/>
  </r>
  <r>
    <n v="3302"/>
    <x v="71"/>
    <x v="1"/>
    <d v="2024-05-07T00:00:00"/>
    <x v="1"/>
    <n v="5"/>
    <x v="1"/>
    <s v="No"/>
    <s v="-"/>
    <x v="1"/>
    <n v="0"/>
    <n v="0"/>
    <n v="5"/>
  </r>
  <r>
    <n v="3303"/>
    <x v="72"/>
    <x v="0"/>
    <d v="2024-05-08T00:00:00"/>
    <x v="0"/>
    <n v="15"/>
    <x v="2"/>
    <s v="Yes"/>
    <n v="30"/>
    <x v="0"/>
    <n v="20"/>
    <n v="20"/>
    <n v="45"/>
  </r>
  <r>
    <n v="3304"/>
    <x v="73"/>
    <x v="2"/>
    <d v="2024-05-09T00:00:00"/>
    <x v="1"/>
    <n v="10"/>
    <x v="2"/>
    <s v="No"/>
    <s v="-"/>
    <x v="0"/>
    <n v="20"/>
    <n v="12"/>
    <n v="18"/>
  </r>
  <r>
    <n v="3305"/>
    <x v="74"/>
    <x v="1"/>
    <d v="2024-05-10T00:00:00"/>
    <x v="0"/>
    <n v="5"/>
    <x v="0"/>
    <s v="No"/>
    <s v="-"/>
    <x v="1"/>
    <n v="0"/>
    <n v="2"/>
    <n v="3"/>
  </r>
  <r>
    <n v="3306"/>
    <x v="75"/>
    <x v="0"/>
    <d v="2024-05-11T00:00:00"/>
    <x v="1"/>
    <n v="15"/>
    <x v="1"/>
    <s v="Yes"/>
    <n v="30"/>
    <x v="0"/>
    <n v="20"/>
    <n v="5"/>
    <n v="60"/>
  </r>
  <r>
    <n v="3307"/>
    <x v="76"/>
    <x v="2"/>
    <d v="2024-05-12T00:00:00"/>
    <x v="0"/>
    <n v="10"/>
    <x v="0"/>
    <s v="No"/>
    <s v="-"/>
    <x v="0"/>
    <n v="20"/>
    <n v="10"/>
    <n v="20"/>
  </r>
  <r>
    <n v="3308"/>
    <x v="77"/>
    <x v="1"/>
    <d v="2024-05-13T00:00:00"/>
    <x v="1"/>
    <n v="5"/>
    <x v="2"/>
    <s v="No"/>
    <s v="-"/>
    <x v="1"/>
    <n v="0"/>
    <n v="0"/>
    <n v="5"/>
  </r>
  <r>
    <n v="3309"/>
    <x v="78"/>
    <x v="0"/>
    <d v="2024-05-14T00:00:00"/>
    <x v="0"/>
    <n v="15"/>
    <x v="0"/>
    <s v="Yes"/>
    <n v="30"/>
    <x v="0"/>
    <n v="20"/>
    <n v="3"/>
    <n v="62"/>
  </r>
  <r>
    <n v="3310"/>
    <x v="79"/>
    <x v="2"/>
    <d v="2024-05-15T00:00:00"/>
    <x v="1"/>
    <n v="10"/>
    <x v="1"/>
    <s v="No"/>
    <s v="-"/>
    <x v="0"/>
    <n v="20"/>
    <n v="15"/>
    <n v="15"/>
  </r>
  <r>
    <n v="3311"/>
    <x v="80"/>
    <x v="1"/>
    <d v="2024-05-16T00:00:00"/>
    <x v="0"/>
    <n v="5"/>
    <x v="0"/>
    <s v="No"/>
    <s v="-"/>
    <x v="1"/>
    <n v="0"/>
    <n v="1"/>
    <n v="4"/>
  </r>
  <r>
    <n v="3312"/>
    <x v="81"/>
    <x v="0"/>
    <d v="2024-05-17T00:00:00"/>
    <x v="1"/>
    <n v="15"/>
    <x v="2"/>
    <s v="Yes"/>
    <n v="30"/>
    <x v="0"/>
    <n v="20"/>
    <n v="7"/>
    <n v="58"/>
  </r>
  <r>
    <n v="3313"/>
    <x v="82"/>
    <x v="2"/>
    <d v="2024-05-18T00:00:00"/>
    <x v="0"/>
    <n v="10"/>
    <x v="0"/>
    <s v="No"/>
    <s v="-"/>
    <x v="0"/>
    <n v="20"/>
    <n v="10"/>
    <n v="20"/>
  </r>
  <r>
    <n v="3314"/>
    <x v="83"/>
    <x v="1"/>
    <d v="2024-05-19T00:00:00"/>
    <x v="1"/>
    <n v="5"/>
    <x v="1"/>
    <s v="No"/>
    <s v="-"/>
    <x v="1"/>
    <n v="0"/>
    <n v="0"/>
    <n v="5"/>
  </r>
  <r>
    <n v="3315"/>
    <x v="84"/>
    <x v="0"/>
    <d v="2024-05-20T00:00:00"/>
    <x v="0"/>
    <n v="15"/>
    <x v="0"/>
    <s v="Yes"/>
    <n v="30"/>
    <x v="0"/>
    <n v="20"/>
    <n v="20"/>
    <n v="45"/>
  </r>
  <r>
    <n v="3316"/>
    <x v="85"/>
    <x v="2"/>
    <d v="2024-05-21T00:00:00"/>
    <x v="1"/>
    <n v="10"/>
    <x v="2"/>
    <s v="No"/>
    <s v="-"/>
    <x v="0"/>
    <n v="20"/>
    <n v="15"/>
    <n v="15"/>
  </r>
  <r>
    <n v="3317"/>
    <x v="86"/>
    <x v="1"/>
    <d v="2024-05-22T00:00:00"/>
    <x v="0"/>
    <n v="5"/>
    <x v="0"/>
    <s v="No"/>
    <s v="-"/>
    <x v="1"/>
    <n v="0"/>
    <n v="1"/>
    <n v="4"/>
  </r>
  <r>
    <n v="3318"/>
    <x v="87"/>
    <x v="0"/>
    <d v="2024-05-23T00:00:00"/>
    <x v="1"/>
    <n v="15"/>
    <x v="1"/>
    <s v="Yes"/>
    <n v="30"/>
    <x v="0"/>
    <n v="20"/>
    <n v="3"/>
    <n v="62"/>
  </r>
  <r>
    <n v="3319"/>
    <x v="88"/>
    <x v="2"/>
    <d v="2024-05-24T00:00:00"/>
    <x v="0"/>
    <n v="10"/>
    <x v="0"/>
    <s v="No"/>
    <s v="-"/>
    <x v="0"/>
    <n v="20"/>
    <n v="10"/>
    <n v="20"/>
  </r>
  <r>
    <n v="3320"/>
    <x v="89"/>
    <x v="1"/>
    <d v="2024-05-25T00:00:00"/>
    <x v="1"/>
    <n v="5"/>
    <x v="2"/>
    <s v="No"/>
    <s v="-"/>
    <x v="1"/>
    <n v="0"/>
    <n v="0"/>
    <n v="5"/>
  </r>
  <r>
    <n v="3321"/>
    <x v="90"/>
    <x v="0"/>
    <d v="2024-05-26T00:00:00"/>
    <x v="0"/>
    <n v="15"/>
    <x v="0"/>
    <s v="Yes"/>
    <n v="30"/>
    <x v="0"/>
    <n v="20"/>
    <n v="5"/>
    <n v="60"/>
  </r>
  <r>
    <n v="3322"/>
    <x v="91"/>
    <x v="2"/>
    <d v="2024-05-27T00:00:00"/>
    <x v="1"/>
    <n v="10"/>
    <x v="1"/>
    <s v="No"/>
    <s v="-"/>
    <x v="0"/>
    <n v="20"/>
    <n v="15"/>
    <n v="15"/>
  </r>
  <r>
    <n v="3323"/>
    <x v="92"/>
    <x v="1"/>
    <d v="2024-05-28T00:00:00"/>
    <x v="0"/>
    <n v="5"/>
    <x v="0"/>
    <s v="No"/>
    <s v="-"/>
    <x v="1"/>
    <n v="0"/>
    <n v="1"/>
    <n v="4"/>
  </r>
  <r>
    <n v="3324"/>
    <x v="93"/>
    <x v="0"/>
    <d v="2024-05-29T00:00:00"/>
    <x v="1"/>
    <n v="15"/>
    <x v="2"/>
    <s v="Yes"/>
    <n v="30"/>
    <x v="0"/>
    <n v="20"/>
    <n v="20"/>
    <n v="45"/>
  </r>
  <r>
    <n v="3325"/>
    <x v="94"/>
    <x v="2"/>
    <d v="2024-05-30T00:00:00"/>
    <x v="0"/>
    <n v="10"/>
    <x v="2"/>
    <s v="No"/>
    <s v="-"/>
    <x v="0"/>
    <n v="20"/>
    <n v="15"/>
    <n v="15"/>
  </r>
  <r>
    <n v="3326"/>
    <x v="95"/>
    <x v="1"/>
    <d v="2024-05-31T00:00:00"/>
    <x v="1"/>
    <n v="5"/>
    <x v="1"/>
    <s v="No"/>
    <s v="-"/>
    <x v="1"/>
    <n v="0"/>
    <n v="0"/>
    <n v="5"/>
  </r>
  <r>
    <n v="3327"/>
    <x v="96"/>
    <x v="0"/>
    <d v="2024-06-01T00:00:00"/>
    <x v="0"/>
    <n v="15"/>
    <x v="0"/>
    <s v="Yes"/>
    <n v="30"/>
    <x v="0"/>
    <n v="20"/>
    <n v="7"/>
    <n v="58"/>
  </r>
  <r>
    <n v="3328"/>
    <x v="97"/>
    <x v="2"/>
    <d v="2024-06-02T00:00:00"/>
    <x v="1"/>
    <n v="10"/>
    <x v="1"/>
    <s v="No"/>
    <s v="-"/>
    <x v="0"/>
    <n v="20"/>
    <n v="10"/>
    <n v="20"/>
  </r>
  <r>
    <n v="3329"/>
    <x v="98"/>
    <x v="1"/>
    <d v="2024-06-03T00:00:00"/>
    <x v="0"/>
    <n v="5"/>
    <x v="2"/>
    <s v="No"/>
    <s v="-"/>
    <x v="1"/>
    <n v="0"/>
    <n v="1"/>
    <n v="4"/>
  </r>
  <r>
    <n v="3330"/>
    <x v="99"/>
    <x v="0"/>
    <d v="2024-06-04T00:00:00"/>
    <x v="1"/>
    <n v="15"/>
    <x v="0"/>
    <s v="Yes"/>
    <n v="30"/>
    <x v="0"/>
    <n v="20"/>
    <n v="15"/>
    <n v="50"/>
  </r>
  <r>
    <n v="3331"/>
    <x v="100"/>
    <x v="2"/>
    <d v="2024-06-05T00:00:00"/>
    <x v="0"/>
    <n v="10"/>
    <x v="0"/>
    <s v="No"/>
    <s v="-"/>
    <x v="0"/>
    <n v="20"/>
    <n v="5"/>
    <n v="25"/>
  </r>
  <r>
    <n v="3332"/>
    <x v="101"/>
    <x v="1"/>
    <d v="2024-06-06T00:00:00"/>
    <x v="1"/>
    <n v="5"/>
    <x v="1"/>
    <s v="No"/>
    <s v="-"/>
    <x v="1"/>
    <n v="0"/>
    <n v="0"/>
    <n v="5"/>
  </r>
  <r>
    <n v="3333"/>
    <x v="102"/>
    <x v="0"/>
    <d v="2024-06-07T00:00:00"/>
    <x v="0"/>
    <n v="15"/>
    <x v="2"/>
    <s v="Yes"/>
    <n v="30"/>
    <x v="0"/>
    <n v="20"/>
    <n v="20"/>
    <n v="45"/>
  </r>
  <r>
    <n v="3334"/>
    <x v="103"/>
    <x v="2"/>
    <d v="2024-06-08T00:00:00"/>
    <x v="1"/>
    <n v="10"/>
    <x v="2"/>
    <s v="No"/>
    <s v="-"/>
    <x v="0"/>
    <n v="20"/>
    <n v="12"/>
    <n v="18"/>
  </r>
  <r>
    <n v="3335"/>
    <x v="104"/>
    <x v="1"/>
    <d v="2024-06-09T00:00:00"/>
    <x v="0"/>
    <n v="5"/>
    <x v="0"/>
    <s v="No"/>
    <s v="-"/>
    <x v="1"/>
    <n v="0"/>
    <n v="2"/>
    <n v="3"/>
  </r>
  <r>
    <n v="3336"/>
    <x v="105"/>
    <x v="1"/>
    <d v="2024-06-10T00:00:00"/>
    <x v="0"/>
    <n v="5"/>
    <x v="0"/>
    <s v="No"/>
    <s v="-"/>
    <x v="1"/>
    <n v="0"/>
    <n v="0"/>
    <n v="5"/>
  </r>
  <r>
    <n v="3337"/>
    <x v="106"/>
    <x v="0"/>
    <d v="2024-06-11T00:00:00"/>
    <x v="1"/>
    <n v="15"/>
    <x v="2"/>
    <s v="Yes"/>
    <n v="30"/>
    <x v="0"/>
    <n v="20"/>
    <n v="7"/>
    <n v="58"/>
  </r>
  <r>
    <n v="3338"/>
    <x v="107"/>
    <x v="2"/>
    <d v="2024-06-12T00:00:00"/>
    <x v="0"/>
    <n v="10"/>
    <x v="1"/>
    <s v="No"/>
    <s v="-"/>
    <x v="0"/>
    <n v="20"/>
    <n v="10"/>
    <n v="20"/>
  </r>
  <r>
    <n v="3339"/>
    <x v="108"/>
    <x v="1"/>
    <d v="2024-06-13T00:00:00"/>
    <x v="1"/>
    <n v="5"/>
    <x v="2"/>
    <s v="No"/>
    <s v="-"/>
    <x v="1"/>
    <n v="0"/>
    <n v="1"/>
    <n v="4"/>
  </r>
  <r>
    <n v="3340"/>
    <x v="109"/>
    <x v="0"/>
    <d v="2024-06-14T00:00:00"/>
    <x v="0"/>
    <n v="15"/>
    <x v="0"/>
    <s v="Yes"/>
    <n v="30"/>
    <x v="0"/>
    <n v="20"/>
    <n v="15"/>
    <n v="50"/>
  </r>
  <r>
    <n v="3341"/>
    <x v="110"/>
    <x v="2"/>
    <d v="2024-06-15T00:00:00"/>
    <x v="1"/>
    <n v="10"/>
    <x v="0"/>
    <s v="No"/>
    <s v="-"/>
    <x v="0"/>
    <n v="20"/>
    <n v="5"/>
    <n v="25"/>
  </r>
  <r>
    <n v="3342"/>
    <x v="111"/>
    <x v="1"/>
    <d v="2024-06-16T00:00:00"/>
    <x v="0"/>
    <n v="5"/>
    <x v="1"/>
    <s v="No"/>
    <s v="-"/>
    <x v="1"/>
    <n v="0"/>
    <n v="0"/>
    <n v="5"/>
  </r>
  <r>
    <n v="3343"/>
    <x v="112"/>
    <x v="0"/>
    <d v="2024-06-17T00:00:00"/>
    <x v="1"/>
    <n v="15"/>
    <x v="2"/>
    <s v="Yes"/>
    <n v="30"/>
    <x v="0"/>
    <n v="20"/>
    <n v="20"/>
    <n v="45"/>
  </r>
  <r>
    <n v="3344"/>
    <x v="113"/>
    <x v="2"/>
    <d v="2024-06-18T00:00:00"/>
    <x v="0"/>
    <n v="10"/>
    <x v="2"/>
    <s v="No"/>
    <s v="-"/>
    <x v="0"/>
    <n v="20"/>
    <n v="12"/>
    <n v="18"/>
  </r>
  <r>
    <n v="3345"/>
    <x v="114"/>
    <x v="1"/>
    <d v="2024-06-19T00:00:00"/>
    <x v="1"/>
    <n v="5"/>
    <x v="0"/>
    <s v="No"/>
    <s v="-"/>
    <x v="1"/>
    <n v="0"/>
    <n v="2"/>
    <n v="3"/>
  </r>
  <r>
    <n v="3346"/>
    <x v="115"/>
    <x v="0"/>
    <d v="2024-06-20T00:00:00"/>
    <x v="0"/>
    <n v="15"/>
    <x v="1"/>
    <s v="Yes"/>
    <n v="30"/>
    <x v="0"/>
    <n v="20"/>
    <n v="5"/>
    <n v="60"/>
  </r>
  <r>
    <n v="3347"/>
    <x v="116"/>
    <x v="2"/>
    <d v="2024-06-21T00:00:00"/>
    <x v="1"/>
    <n v="10"/>
    <x v="0"/>
    <s v="No"/>
    <s v="-"/>
    <x v="0"/>
    <n v="20"/>
    <n v="10"/>
    <n v="20"/>
  </r>
  <r>
    <n v="3348"/>
    <x v="117"/>
    <x v="1"/>
    <d v="2024-06-22T00:00:00"/>
    <x v="0"/>
    <n v="5"/>
    <x v="2"/>
    <s v="No"/>
    <s v="-"/>
    <x v="1"/>
    <n v="0"/>
    <n v="0"/>
    <n v="5"/>
  </r>
  <r>
    <n v="3349"/>
    <x v="93"/>
    <x v="0"/>
    <d v="2024-06-23T00:00:00"/>
    <x v="1"/>
    <n v="15"/>
    <x v="0"/>
    <s v="Yes"/>
    <n v="30"/>
    <x v="0"/>
    <n v="20"/>
    <n v="3"/>
    <n v="62"/>
  </r>
  <r>
    <n v="3350"/>
    <x v="118"/>
    <x v="2"/>
    <d v="2024-06-24T00:00:00"/>
    <x v="0"/>
    <n v="10"/>
    <x v="1"/>
    <s v="No"/>
    <s v="-"/>
    <x v="0"/>
    <n v="20"/>
    <n v="15"/>
    <n v="15"/>
  </r>
  <r>
    <n v="3351"/>
    <x v="119"/>
    <x v="1"/>
    <d v="2024-06-25T00:00:00"/>
    <x v="1"/>
    <n v="5"/>
    <x v="0"/>
    <s v="No"/>
    <s v="-"/>
    <x v="1"/>
    <n v="0"/>
    <n v="1"/>
    <n v="4"/>
  </r>
  <r>
    <n v="3352"/>
    <x v="120"/>
    <x v="0"/>
    <d v="2024-06-26T00:00:00"/>
    <x v="0"/>
    <n v="15"/>
    <x v="2"/>
    <s v="Yes"/>
    <n v="30"/>
    <x v="0"/>
    <n v="20"/>
    <n v="7"/>
    <n v="58"/>
  </r>
  <r>
    <n v="3353"/>
    <x v="121"/>
    <x v="2"/>
    <d v="2024-06-27T00:00:00"/>
    <x v="1"/>
    <n v="10"/>
    <x v="0"/>
    <s v="No"/>
    <s v="-"/>
    <x v="0"/>
    <n v="20"/>
    <n v="10"/>
    <n v="20"/>
  </r>
  <r>
    <n v="3354"/>
    <x v="122"/>
    <x v="1"/>
    <d v="2024-06-28T00:00:00"/>
    <x v="0"/>
    <n v="5"/>
    <x v="1"/>
    <s v="No"/>
    <s v="-"/>
    <x v="1"/>
    <n v="0"/>
    <n v="0"/>
    <n v="5"/>
  </r>
  <r>
    <n v="3355"/>
    <x v="123"/>
    <x v="0"/>
    <d v="2024-06-29T00:00:00"/>
    <x v="1"/>
    <n v="15"/>
    <x v="0"/>
    <s v="Yes"/>
    <n v="30"/>
    <x v="0"/>
    <n v="20"/>
    <n v="20"/>
    <n v="45"/>
  </r>
  <r>
    <n v="3356"/>
    <x v="124"/>
    <x v="2"/>
    <d v="2024-06-30T00:00:00"/>
    <x v="0"/>
    <n v="10"/>
    <x v="2"/>
    <s v="No"/>
    <s v="-"/>
    <x v="0"/>
    <n v="20"/>
    <n v="15"/>
    <n v="15"/>
  </r>
  <r>
    <n v="3357"/>
    <x v="125"/>
    <x v="1"/>
    <d v="2024-07-01T00:00:00"/>
    <x v="1"/>
    <n v="5"/>
    <x v="0"/>
    <s v="No"/>
    <s v="-"/>
    <x v="1"/>
    <n v="0"/>
    <n v="1"/>
    <n v="4"/>
  </r>
  <r>
    <n v="3358"/>
    <x v="126"/>
    <x v="0"/>
    <d v="2024-07-02T00:00:00"/>
    <x v="0"/>
    <n v="15"/>
    <x v="1"/>
    <s v="Yes"/>
    <n v="30"/>
    <x v="0"/>
    <n v="20"/>
    <n v="3"/>
    <n v="62"/>
  </r>
  <r>
    <n v="3359"/>
    <x v="127"/>
    <x v="2"/>
    <d v="2024-07-03T00:00:00"/>
    <x v="1"/>
    <n v="10"/>
    <x v="0"/>
    <s v="No"/>
    <s v="-"/>
    <x v="0"/>
    <n v="20"/>
    <n v="10"/>
    <n v="20"/>
  </r>
  <r>
    <n v="3360"/>
    <x v="128"/>
    <x v="1"/>
    <d v="2024-07-04T00:00:00"/>
    <x v="0"/>
    <n v="5"/>
    <x v="2"/>
    <s v="No"/>
    <s v="-"/>
    <x v="1"/>
    <n v="0"/>
    <n v="0"/>
    <n v="5"/>
  </r>
  <r>
    <n v="3361"/>
    <x v="129"/>
    <x v="0"/>
    <d v="2024-07-05T00:00:00"/>
    <x v="1"/>
    <n v="15"/>
    <x v="0"/>
    <s v="Yes"/>
    <n v="30"/>
    <x v="0"/>
    <n v="20"/>
    <n v="15"/>
    <n v="50"/>
  </r>
  <r>
    <n v="3362"/>
    <x v="130"/>
    <x v="2"/>
    <d v="2024-07-06T00:00:00"/>
    <x v="0"/>
    <n v="10"/>
    <x v="1"/>
    <s v="No"/>
    <s v="-"/>
    <x v="0"/>
    <n v="20"/>
    <n v="15"/>
    <n v="15"/>
  </r>
  <r>
    <n v="3363"/>
    <x v="131"/>
    <x v="1"/>
    <d v="2024-07-07T00:00:00"/>
    <x v="1"/>
    <n v="5"/>
    <x v="0"/>
    <s v="No"/>
    <s v="-"/>
    <x v="1"/>
    <n v="0"/>
    <n v="1"/>
    <n v="4"/>
  </r>
  <r>
    <n v="3364"/>
    <x v="132"/>
    <x v="0"/>
    <d v="2024-07-08T00:00:00"/>
    <x v="0"/>
    <n v="15"/>
    <x v="2"/>
    <s v="Yes"/>
    <n v="30"/>
    <x v="0"/>
    <n v="20"/>
    <n v="7"/>
    <n v="58"/>
  </r>
  <r>
    <n v="3365"/>
    <x v="133"/>
    <x v="2"/>
    <d v="2024-07-09T00:00:00"/>
    <x v="1"/>
    <n v="10"/>
    <x v="0"/>
    <s v="No"/>
    <s v="-"/>
    <x v="0"/>
    <n v="20"/>
    <n v="10"/>
    <n v="20"/>
  </r>
  <r>
    <n v="3366"/>
    <x v="134"/>
    <x v="1"/>
    <d v="2024-07-10T00:00:00"/>
    <x v="0"/>
    <n v="5"/>
    <x v="0"/>
    <s v="No"/>
    <s v="-"/>
    <x v="1"/>
    <n v="0"/>
    <n v="0"/>
    <n v="5"/>
  </r>
  <r>
    <n v="3367"/>
    <x v="135"/>
    <x v="0"/>
    <d v="2024-07-11T00:00:00"/>
    <x v="1"/>
    <n v="15"/>
    <x v="2"/>
    <s v="Yes"/>
    <n v="30"/>
    <x v="0"/>
    <n v="20"/>
    <n v="7"/>
    <n v="58"/>
  </r>
  <r>
    <n v="3368"/>
    <x v="136"/>
    <x v="2"/>
    <d v="2024-07-12T00:00:00"/>
    <x v="0"/>
    <n v="10"/>
    <x v="1"/>
    <s v="No"/>
    <s v="-"/>
    <x v="0"/>
    <n v="20"/>
    <n v="10"/>
    <n v="20"/>
  </r>
  <r>
    <n v="3369"/>
    <x v="137"/>
    <x v="1"/>
    <d v="2024-07-13T00:00:00"/>
    <x v="1"/>
    <n v="5"/>
    <x v="2"/>
    <s v="No"/>
    <s v="-"/>
    <x v="1"/>
    <n v="0"/>
    <n v="1"/>
    <n v="4"/>
  </r>
  <r>
    <n v="3370"/>
    <x v="138"/>
    <x v="0"/>
    <d v="2024-07-14T00:00:00"/>
    <x v="0"/>
    <n v="15"/>
    <x v="0"/>
    <s v="Yes"/>
    <n v="30"/>
    <x v="0"/>
    <n v="20"/>
    <n v="15"/>
    <n v="50"/>
  </r>
  <r>
    <n v="3371"/>
    <x v="139"/>
    <x v="2"/>
    <d v="2024-07-15T00:00:00"/>
    <x v="1"/>
    <n v="10"/>
    <x v="0"/>
    <s v="No"/>
    <s v="-"/>
    <x v="0"/>
    <n v="20"/>
    <n v="5"/>
    <n v="25"/>
  </r>
  <r>
    <n v="3372"/>
    <x v="140"/>
    <x v="1"/>
    <d v="2024-07-16T00:00:00"/>
    <x v="0"/>
    <n v="5"/>
    <x v="1"/>
    <s v="No"/>
    <s v="-"/>
    <x v="1"/>
    <n v="0"/>
    <n v="0"/>
    <n v="5"/>
  </r>
  <r>
    <n v="3373"/>
    <x v="141"/>
    <x v="0"/>
    <d v="2024-07-17T00:00:00"/>
    <x v="1"/>
    <n v="15"/>
    <x v="2"/>
    <s v="Yes"/>
    <n v="30"/>
    <x v="0"/>
    <n v="20"/>
    <n v="20"/>
    <n v="45"/>
  </r>
  <r>
    <n v="3374"/>
    <x v="142"/>
    <x v="2"/>
    <d v="2024-07-18T00:00:00"/>
    <x v="0"/>
    <n v="10"/>
    <x v="2"/>
    <s v="No"/>
    <s v="-"/>
    <x v="0"/>
    <n v="20"/>
    <n v="12"/>
    <n v="18"/>
  </r>
  <r>
    <n v="3375"/>
    <x v="143"/>
    <x v="1"/>
    <d v="2024-07-19T00:00:00"/>
    <x v="1"/>
    <n v="5"/>
    <x v="0"/>
    <s v="No"/>
    <s v="-"/>
    <x v="1"/>
    <n v="0"/>
    <n v="2"/>
    <n v="3"/>
  </r>
  <r>
    <n v="3376"/>
    <x v="144"/>
    <x v="0"/>
    <d v="2024-07-20T00:00:00"/>
    <x v="0"/>
    <n v="15"/>
    <x v="1"/>
    <s v="Yes"/>
    <n v="30"/>
    <x v="0"/>
    <n v="20"/>
    <n v="5"/>
    <n v="60"/>
  </r>
  <r>
    <n v="3377"/>
    <x v="145"/>
    <x v="2"/>
    <d v="2024-07-21T00:00:00"/>
    <x v="1"/>
    <n v="10"/>
    <x v="0"/>
    <s v="No"/>
    <s v="-"/>
    <x v="0"/>
    <n v="20"/>
    <n v="10"/>
    <n v="20"/>
  </r>
  <r>
    <n v="3378"/>
    <x v="146"/>
    <x v="1"/>
    <d v="2024-07-22T00:00:00"/>
    <x v="0"/>
    <n v="5"/>
    <x v="2"/>
    <s v="No"/>
    <s v="-"/>
    <x v="1"/>
    <n v="0"/>
    <n v="0"/>
    <n v="5"/>
  </r>
  <r>
    <n v="3379"/>
    <x v="147"/>
    <x v="0"/>
    <d v="2024-07-23T00:00:00"/>
    <x v="1"/>
    <n v="15"/>
    <x v="0"/>
    <s v="Yes"/>
    <n v="30"/>
    <x v="0"/>
    <n v="20"/>
    <n v="3"/>
    <n v="62"/>
  </r>
  <r>
    <n v="3380"/>
    <x v="148"/>
    <x v="2"/>
    <d v="2024-07-24T00:00:00"/>
    <x v="0"/>
    <n v="10"/>
    <x v="1"/>
    <s v="No"/>
    <s v="-"/>
    <x v="0"/>
    <n v="20"/>
    <n v="15"/>
    <n v="15"/>
  </r>
  <r>
    <n v="3381"/>
    <x v="149"/>
    <x v="1"/>
    <d v="2024-07-25T00:00:00"/>
    <x v="1"/>
    <n v="5"/>
    <x v="0"/>
    <s v="No"/>
    <s v="-"/>
    <x v="1"/>
    <n v="0"/>
    <n v="1"/>
    <n v="4"/>
  </r>
  <r>
    <n v="3382"/>
    <x v="150"/>
    <x v="0"/>
    <d v="2024-07-26T00:00:00"/>
    <x v="0"/>
    <n v="15"/>
    <x v="2"/>
    <s v="Yes"/>
    <n v="30"/>
    <x v="0"/>
    <n v="20"/>
    <n v="7"/>
    <n v="58"/>
  </r>
  <r>
    <n v="3383"/>
    <x v="151"/>
    <x v="2"/>
    <d v="2024-07-27T00:00:00"/>
    <x v="1"/>
    <n v="10"/>
    <x v="0"/>
    <s v="No"/>
    <s v="-"/>
    <x v="0"/>
    <n v="20"/>
    <n v="10"/>
    <n v="20"/>
  </r>
  <r>
    <n v="3384"/>
    <x v="152"/>
    <x v="1"/>
    <d v="2024-07-28T00:00:00"/>
    <x v="0"/>
    <n v="5"/>
    <x v="1"/>
    <s v="No"/>
    <s v="-"/>
    <x v="1"/>
    <n v="0"/>
    <n v="0"/>
    <n v="5"/>
  </r>
  <r>
    <n v="3385"/>
    <x v="153"/>
    <x v="0"/>
    <d v="2024-07-29T00:00:00"/>
    <x v="1"/>
    <n v="15"/>
    <x v="0"/>
    <s v="Yes"/>
    <n v="30"/>
    <x v="0"/>
    <n v="20"/>
    <n v="20"/>
    <n v="45"/>
  </r>
  <r>
    <n v="3386"/>
    <x v="154"/>
    <x v="2"/>
    <d v="2024-07-30T00:00:00"/>
    <x v="0"/>
    <n v="10"/>
    <x v="2"/>
    <s v="No"/>
    <s v="-"/>
    <x v="0"/>
    <n v="20"/>
    <n v="15"/>
    <n v="15"/>
  </r>
  <r>
    <n v="3387"/>
    <x v="155"/>
    <x v="1"/>
    <d v="2024-07-31T00:00:00"/>
    <x v="1"/>
    <n v="5"/>
    <x v="0"/>
    <s v="No"/>
    <s v="-"/>
    <x v="1"/>
    <n v="0"/>
    <n v="1"/>
    <n v="4"/>
  </r>
  <r>
    <n v="3388"/>
    <x v="156"/>
    <x v="0"/>
    <d v="2024-08-01T00:00:00"/>
    <x v="0"/>
    <n v="15"/>
    <x v="1"/>
    <s v="Yes"/>
    <n v="30"/>
    <x v="0"/>
    <n v="20"/>
    <n v="3"/>
    <n v="62"/>
  </r>
  <r>
    <n v="3389"/>
    <x v="157"/>
    <x v="2"/>
    <d v="2024-08-02T00:00:00"/>
    <x v="1"/>
    <n v="10"/>
    <x v="0"/>
    <s v="No"/>
    <s v="-"/>
    <x v="0"/>
    <n v="20"/>
    <n v="10"/>
    <n v="20"/>
  </r>
  <r>
    <n v="3390"/>
    <x v="158"/>
    <x v="1"/>
    <d v="2024-08-03T00:00:00"/>
    <x v="0"/>
    <n v="5"/>
    <x v="2"/>
    <s v="No"/>
    <s v="-"/>
    <x v="1"/>
    <n v="0"/>
    <n v="0"/>
    <n v="5"/>
  </r>
  <r>
    <n v="3391"/>
    <x v="58"/>
    <x v="0"/>
    <d v="2024-08-04T00:00:00"/>
    <x v="1"/>
    <n v="15"/>
    <x v="0"/>
    <s v="Yes"/>
    <n v="30"/>
    <x v="0"/>
    <n v="20"/>
    <n v="15"/>
    <n v="50"/>
  </r>
  <r>
    <n v="3392"/>
    <x v="159"/>
    <x v="2"/>
    <d v="2024-08-05T00:00:00"/>
    <x v="0"/>
    <n v="10"/>
    <x v="1"/>
    <s v="No"/>
    <s v="-"/>
    <x v="0"/>
    <n v="20"/>
    <n v="15"/>
    <n v="15"/>
  </r>
  <r>
    <n v="3393"/>
    <x v="160"/>
    <x v="1"/>
    <d v="2024-08-06T00:00:00"/>
    <x v="1"/>
    <n v="5"/>
    <x v="0"/>
    <s v="No"/>
    <s v="-"/>
    <x v="1"/>
    <n v="0"/>
    <n v="1"/>
    <n v="4"/>
  </r>
  <r>
    <n v="3394"/>
    <x v="161"/>
    <x v="0"/>
    <d v="2024-08-07T00:00:00"/>
    <x v="0"/>
    <n v="15"/>
    <x v="2"/>
    <s v="Yes"/>
    <n v="30"/>
    <x v="0"/>
    <n v="20"/>
    <n v="7"/>
    <n v="58"/>
  </r>
  <r>
    <n v="3395"/>
    <x v="162"/>
    <x v="2"/>
    <d v="2024-08-08T00:00:00"/>
    <x v="1"/>
    <n v="10"/>
    <x v="0"/>
    <s v="No"/>
    <s v="-"/>
    <x v="0"/>
    <n v="20"/>
    <n v="10"/>
    <n v="20"/>
  </r>
  <r>
    <n v="3396"/>
    <x v="163"/>
    <x v="1"/>
    <d v="2024-08-09T00:00:00"/>
    <x v="0"/>
    <n v="5"/>
    <x v="1"/>
    <s v="No"/>
    <s v="-"/>
    <x v="1"/>
    <n v="0"/>
    <n v="0"/>
    <n v="5"/>
  </r>
  <r>
    <n v="3397"/>
    <x v="90"/>
    <x v="0"/>
    <d v="2024-08-10T00:00:00"/>
    <x v="1"/>
    <n v="15"/>
    <x v="0"/>
    <s v="Yes"/>
    <n v="30"/>
    <x v="0"/>
    <n v="20"/>
    <n v="20"/>
    <n v="45"/>
  </r>
  <r>
    <n v="3398"/>
    <x v="164"/>
    <x v="2"/>
    <d v="2024-08-11T00:00:00"/>
    <x v="0"/>
    <n v="10"/>
    <x v="2"/>
    <s v="No"/>
    <s v="-"/>
    <x v="0"/>
    <n v="20"/>
    <n v="15"/>
    <n v="15"/>
  </r>
  <r>
    <n v="3399"/>
    <x v="165"/>
    <x v="1"/>
    <d v="2024-08-12T00:00:00"/>
    <x v="1"/>
    <n v="5"/>
    <x v="0"/>
    <s v="No"/>
    <s v="-"/>
    <x v="1"/>
    <n v="0"/>
    <n v="1"/>
    <n v="4"/>
  </r>
  <r>
    <n v="3400"/>
    <x v="166"/>
    <x v="0"/>
    <d v="2024-08-13T00:00:00"/>
    <x v="0"/>
    <n v="15"/>
    <x v="1"/>
    <s v="Yes"/>
    <n v="30"/>
    <x v="0"/>
    <n v="20"/>
    <n v="5"/>
    <n v="60"/>
  </r>
  <r>
    <n v="3401"/>
    <x v="167"/>
    <x v="2"/>
    <d v="2024-08-14T00:00:00"/>
    <x v="1"/>
    <n v="10"/>
    <x v="0"/>
    <s v="No"/>
    <s v="-"/>
    <x v="0"/>
    <n v="20"/>
    <n v="10"/>
    <n v="20"/>
  </r>
  <r>
    <n v="3402"/>
    <x v="168"/>
    <x v="1"/>
    <d v="2024-08-15T00:00:00"/>
    <x v="0"/>
    <n v="5"/>
    <x v="2"/>
    <s v="No"/>
    <s v="-"/>
    <x v="1"/>
    <n v="0"/>
    <n v="0"/>
    <n v="5"/>
  </r>
  <r>
    <n v="3403"/>
    <x v="169"/>
    <x v="0"/>
    <d v="2024-08-16T00:00:00"/>
    <x v="1"/>
    <n v="15"/>
    <x v="0"/>
    <s v="Yes"/>
    <n v="30"/>
    <x v="0"/>
    <n v="20"/>
    <n v="3"/>
    <n v="62"/>
  </r>
  <r>
    <n v="3404"/>
    <x v="170"/>
    <x v="2"/>
    <d v="2024-08-17T00:00:00"/>
    <x v="0"/>
    <n v="10"/>
    <x v="1"/>
    <s v="No"/>
    <s v="-"/>
    <x v="0"/>
    <n v="20"/>
    <n v="15"/>
    <n v="15"/>
  </r>
  <r>
    <n v="3405"/>
    <x v="171"/>
    <x v="1"/>
    <d v="2024-08-18T00:00:00"/>
    <x v="1"/>
    <n v="5"/>
    <x v="0"/>
    <s v="No"/>
    <s v="-"/>
    <x v="1"/>
    <n v="0"/>
    <n v="1"/>
    <n v="4"/>
  </r>
  <r>
    <n v="3406"/>
    <x v="172"/>
    <x v="1"/>
    <d v="2024-08-19T00:00:00"/>
    <x v="0"/>
    <n v="5"/>
    <x v="0"/>
    <s v="No"/>
    <s v="-"/>
    <x v="1"/>
    <n v="0"/>
    <n v="0"/>
    <n v="5"/>
  </r>
  <r>
    <n v="3407"/>
    <x v="173"/>
    <x v="0"/>
    <d v="2024-08-20T00:00:00"/>
    <x v="1"/>
    <n v="15"/>
    <x v="2"/>
    <s v="Yes"/>
    <n v="30"/>
    <x v="0"/>
    <n v="20"/>
    <n v="7"/>
    <n v="58"/>
  </r>
  <r>
    <n v="3408"/>
    <x v="174"/>
    <x v="2"/>
    <d v="2024-08-21T00:00:00"/>
    <x v="0"/>
    <n v="10"/>
    <x v="1"/>
    <s v="No"/>
    <s v="-"/>
    <x v="0"/>
    <n v="20"/>
    <n v="10"/>
    <n v="20"/>
  </r>
  <r>
    <n v="3409"/>
    <x v="175"/>
    <x v="1"/>
    <d v="2024-08-22T00:00:00"/>
    <x v="1"/>
    <n v="5"/>
    <x v="2"/>
    <s v="No"/>
    <s v="-"/>
    <x v="1"/>
    <n v="0"/>
    <n v="1"/>
    <n v="4"/>
  </r>
  <r>
    <n v="3410"/>
    <x v="176"/>
    <x v="0"/>
    <d v="2024-08-23T00:00:00"/>
    <x v="0"/>
    <n v="15"/>
    <x v="0"/>
    <s v="Yes"/>
    <n v="30"/>
    <x v="0"/>
    <n v="20"/>
    <n v="15"/>
    <n v="50"/>
  </r>
  <r>
    <n v="3411"/>
    <x v="177"/>
    <x v="2"/>
    <d v="2024-08-24T00:00:00"/>
    <x v="1"/>
    <n v="10"/>
    <x v="0"/>
    <s v="No"/>
    <s v="-"/>
    <x v="0"/>
    <n v="20"/>
    <n v="5"/>
    <n v="25"/>
  </r>
  <r>
    <n v="3412"/>
    <x v="178"/>
    <x v="1"/>
    <d v="2024-08-25T00:00:00"/>
    <x v="0"/>
    <n v="5"/>
    <x v="1"/>
    <s v="No"/>
    <s v="-"/>
    <x v="1"/>
    <n v="0"/>
    <n v="0"/>
    <n v="5"/>
  </r>
  <r>
    <n v="3413"/>
    <x v="179"/>
    <x v="0"/>
    <d v="2024-08-26T00:00:00"/>
    <x v="1"/>
    <n v="15"/>
    <x v="2"/>
    <s v="Yes"/>
    <n v="30"/>
    <x v="0"/>
    <n v="20"/>
    <n v="20"/>
    <n v="45"/>
  </r>
  <r>
    <n v="3414"/>
    <x v="180"/>
    <x v="2"/>
    <d v="2024-08-27T00:00:00"/>
    <x v="0"/>
    <n v="10"/>
    <x v="2"/>
    <s v="No"/>
    <s v="-"/>
    <x v="0"/>
    <n v="20"/>
    <n v="12"/>
    <n v="18"/>
  </r>
  <r>
    <n v="3415"/>
    <x v="181"/>
    <x v="1"/>
    <d v="2024-08-28T00:00:00"/>
    <x v="1"/>
    <n v="5"/>
    <x v="0"/>
    <s v="No"/>
    <s v="-"/>
    <x v="1"/>
    <n v="0"/>
    <n v="2"/>
    <n v="3"/>
  </r>
  <r>
    <n v="3416"/>
    <x v="182"/>
    <x v="0"/>
    <d v="2024-08-29T00:00:00"/>
    <x v="0"/>
    <n v="15"/>
    <x v="1"/>
    <s v="Yes"/>
    <n v="30"/>
    <x v="0"/>
    <n v="20"/>
    <n v="5"/>
    <n v="60"/>
  </r>
  <r>
    <n v="3417"/>
    <x v="183"/>
    <x v="2"/>
    <d v="2024-08-30T00:00:00"/>
    <x v="1"/>
    <n v="10"/>
    <x v="0"/>
    <s v="No"/>
    <s v="-"/>
    <x v="0"/>
    <n v="20"/>
    <n v="10"/>
    <n v="20"/>
  </r>
  <r>
    <n v="3418"/>
    <x v="184"/>
    <x v="1"/>
    <d v="2024-08-31T00:00:00"/>
    <x v="0"/>
    <n v="5"/>
    <x v="2"/>
    <s v="No"/>
    <s v="-"/>
    <x v="1"/>
    <n v="0"/>
    <n v="0"/>
    <n v="5"/>
  </r>
  <r>
    <n v="3419"/>
    <x v="185"/>
    <x v="0"/>
    <d v="2024-09-01T00:00:00"/>
    <x v="1"/>
    <n v="15"/>
    <x v="0"/>
    <s v="Yes"/>
    <n v="30"/>
    <x v="0"/>
    <n v="20"/>
    <n v="3"/>
    <n v="62"/>
  </r>
  <r>
    <n v="3420"/>
    <x v="186"/>
    <x v="2"/>
    <d v="2024-09-02T00:00:00"/>
    <x v="0"/>
    <n v="10"/>
    <x v="1"/>
    <s v="No"/>
    <s v="-"/>
    <x v="0"/>
    <n v="20"/>
    <n v="15"/>
    <n v="15"/>
  </r>
  <r>
    <n v="3421"/>
    <x v="15"/>
    <x v="1"/>
    <d v="2024-09-03T00:00:00"/>
    <x v="1"/>
    <n v="5"/>
    <x v="0"/>
    <s v="No"/>
    <s v="-"/>
    <x v="1"/>
    <n v="0"/>
    <n v="1"/>
    <n v="4"/>
  </r>
  <r>
    <n v="3422"/>
    <x v="187"/>
    <x v="0"/>
    <d v="2024-09-04T00:00:00"/>
    <x v="0"/>
    <n v="15"/>
    <x v="2"/>
    <s v="Yes"/>
    <n v="30"/>
    <x v="0"/>
    <n v="20"/>
    <n v="7"/>
    <n v="58"/>
  </r>
  <r>
    <n v="3423"/>
    <x v="188"/>
    <x v="2"/>
    <d v="2024-09-05T00:00:00"/>
    <x v="1"/>
    <n v="10"/>
    <x v="0"/>
    <s v="No"/>
    <s v="-"/>
    <x v="0"/>
    <n v="20"/>
    <n v="10"/>
    <n v="20"/>
  </r>
  <r>
    <n v="3424"/>
    <x v="14"/>
    <x v="1"/>
    <d v="2024-09-06T00:00:00"/>
    <x v="0"/>
    <n v="5"/>
    <x v="1"/>
    <s v="No"/>
    <s v="-"/>
    <x v="1"/>
    <n v="0"/>
    <n v="0"/>
    <n v="5"/>
  </r>
  <r>
    <n v="3425"/>
    <x v="189"/>
    <x v="0"/>
    <d v="2024-09-07T00:00:00"/>
    <x v="1"/>
    <n v="15"/>
    <x v="0"/>
    <s v="Yes"/>
    <n v="30"/>
    <x v="0"/>
    <n v="20"/>
    <n v="20"/>
    <n v="45"/>
  </r>
  <r>
    <n v="3426"/>
    <x v="167"/>
    <x v="2"/>
    <d v="2024-09-08T00:00:00"/>
    <x v="0"/>
    <n v="10"/>
    <x v="2"/>
    <s v="No"/>
    <s v="-"/>
    <x v="0"/>
    <n v="20"/>
    <n v="15"/>
    <n v="15"/>
  </r>
  <r>
    <n v="3427"/>
    <x v="190"/>
    <x v="1"/>
    <d v="2024-09-09T00:00:00"/>
    <x v="1"/>
    <n v="5"/>
    <x v="0"/>
    <s v="No"/>
    <s v="-"/>
    <x v="1"/>
    <n v="0"/>
    <n v="1"/>
    <n v="4"/>
  </r>
  <r>
    <n v="3428"/>
    <x v="191"/>
    <x v="0"/>
    <d v="2024-09-10T00:00:00"/>
    <x v="0"/>
    <n v="15"/>
    <x v="1"/>
    <s v="Yes"/>
    <n v="30"/>
    <x v="0"/>
    <n v="20"/>
    <n v="3"/>
    <n v="62"/>
  </r>
  <r>
    <n v="3429"/>
    <x v="192"/>
    <x v="2"/>
    <d v="2024-09-11T00:00:00"/>
    <x v="1"/>
    <n v="10"/>
    <x v="0"/>
    <s v="No"/>
    <s v="-"/>
    <x v="0"/>
    <n v="20"/>
    <n v="10"/>
    <n v="20"/>
  </r>
  <r>
    <n v="3430"/>
    <x v="193"/>
    <x v="1"/>
    <d v="2024-09-12T00:00:00"/>
    <x v="0"/>
    <n v="5"/>
    <x v="2"/>
    <s v="No"/>
    <s v="-"/>
    <x v="1"/>
    <n v="0"/>
    <n v="0"/>
    <n v="5"/>
  </r>
  <r>
    <n v="3431"/>
    <x v="194"/>
    <x v="0"/>
    <d v="2024-09-13T00:00:00"/>
    <x v="1"/>
    <n v="15"/>
    <x v="0"/>
    <s v="Yes"/>
    <n v="30"/>
    <x v="0"/>
    <n v="20"/>
    <n v="15"/>
    <n v="50"/>
  </r>
  <r>
    <n v="3432"/>
    <x v="195"/>
    <x v="2"/>
    <d v="2024-09-14T00:00:00"/>
    <x v="0"/>
    <n v="10"/>
    <x v="1"/>
    <s v="No"/>
    <s v="-"/>
    <x v="0"/>
    <n v="20"/>
    <n v="15"/>
    <n v="15"/>
  </r>
  <r>
    <n v="3433"/>
    <x v="196"/>
    <x v="1"/>
    <d v="2024-09-15T00:00:00"/>
    <x v="1"/>
    <n v="5"/>
    <x v="0"/>
    <s v="No"/>
    <s v="-"/>
    <x v="1"/>
    <n v="0"/>
    <n v="1"/>
    <n v="4"/>
  </r>
  <r>
    <n v="3434"/>
    <x v="197"/>
    <x v="0"/>
    <d v="2024-09-16T00:00:00"/>
    <x v="0"/>
    <n v="15"/>
    <x v="2"/>
    <s v="Yes"/>
    <n v="30"/>
    <x v="0"/>
    <n v="20"/>
    <n v="7"/>
    <n v="58"/>
  </r>
  <r>
    <n v="3435"/>
    <x v="198"/>
    <x v="2"/>
    <d v="2024-09-17T00:00:00"/>
    <x v="1"/>
    <n v="10"/>
    <x v="0"/>
    <s v="No"/>
    <s v="-"/>
    <x v="0"/>
    <n v="20"/>
    <n v="10"/>
    <n v="20"/>
  </r>
  <r>
    <n v="3436"/>
    <x v="199"/>
    <x v="1"/>
    <d v="2024-09-18T00:00:00"/>
    <x v="0"/>
    <n v="5"/>
    <x v="0"/>
    <s v="No"/>
    <s v="-"/>
    <x v="1"/>
    <n v="0"/>
    <n v="0"/>
    <n v="5"/>
  </r>
  <r>
    <n v="3437"/>
    <x v="200"/>
    <x v="0"/>
    <d v="2024-09-19T00:00:00"/>
    <x v="1"/>
    <n v="15"/>
    <x v="2"/>
    <s v="Yes"/>
    <n v="30"/>
    <x v="0"/>
    <n v="20"/>
    <n v="7"/>
    <n v="58"/>
  </r>
  <r>
    <n v="3438"/>
    <x v="201"/>
    <x v="2"/>
    <d v="2024-09-20T00:00:00"/>
    <x v="0"/>
    <n v="10"/>
    <x v="1"/>
    <s v="No"/>
    <s v="-"/>
    <x v="0"/>
    <n v="20"/>
    <n v="10"/>
    <n v="20"/>
  </r>
  <r>
    <n v="3439"/>
    <x v="202"/>
    <x v="1"/>
    <d v="2024-09-21T00:00:00"/>
    <x v="1"/>
    <n v="5"/>
    <x v="2"/>
    <s v="No"/>
    <s v="-"/>
    <x v="1"/>
    <n v="0"/>
    <n v="1"/>
    <n v="4"/>
  </r>
  <r>
    <n v="3440"/>
    <x v="203"/>
    <x v="0"/>
    <d v="2024-09-22T00:00:00"/>
    <x v="0"/>
    <n v="15"/>
    <x v="0"/>
    <s v="Yes"/>
    <n v="30"/>
    <x v="0"/>
    <n v="20"/>
    <n v="15"/>
    <n v="50"/>
  </r>
  <r>
    <n v="3441"/>
    <x v="204"/>
    <x v="2"/>
    <d v="2024-09-23T00:00:00"/>
    <x v="1"/>
    <n v="10"/>
    <x v="0"/>
    <s v="No"/>
    <s v="-"/>
    <x v="0"/>
    <n v="20"/>
    <n v="5"/>
    <n v="25"/>
  </r>
  <r>
    <n v="3442"/>
    <x v="205"/>
    <x v="1"/>
    <d v="2024-09-24T00:00:00"/>
    <x v="0"/>
    <n v="5"/>
    <x v="1"/>
    <s v="No"/>
    <s v="-"/>
    <x v="1"/>
    <n v="0"/>
    <n v="0"/>
    <n v="5"/>
  </r>
  <r>
    <n v="3443"/>
    <x v="206"/>
    <x v="0"/>
    <d v="2024-09-25T00:00:00"/>
    <x v="1"/>
    <n v="15"/>
    <x v="2"/>
    <s v="Yes"/>
    <n v="30"/>
    <x v="0"/>
    <n v="20"/>
    <n v="20"/>
    <n v="45"/>
  </r>
  <r>
    <n v="3444"/>
    <x v="207"/>
    <x v="2"/>
    <d v="2024-09-26T00:00:00"/>
    <x v="0"/>
    <n v="10"/>
    <x v="2"/>
    <s v="No"/>
    <s v="-"/>
    <x v="0"/>
    <n v="20"/>
    <n v="12"/>
    <n v="18"/>
  </r>
  <r>
    <n v="3445"/>
    <x v="37"/>
    <x v="1"/>
    <d v="2024-09-27T00:00:00"/>
    <x v="1"/>
    <n v="5"/>
    <x v="0"/>
    <s v="No"/>
    <s v="-"/>
    <x v="1"/>
    <n v="0"/>
    <n v="2"/>
    <n v="3"/>
  </r>
  <r>
    <n v="3446"/>
    <x v="208"/>
    <x v="0"/>
    <d v="2024-09-28T00:00:00"/>
    <x v="0"/>
    <n v="15"/>
    <x v="1"/>
    <s v="Yes"/>
    <n v="30"/>
    <x v="0"/>
    <n v="20"/>
    <n v="5"/>
    <n v="60"/>
  </r>
  <r>
    <n v="3447"/>
    <x v="209"/>
    <x v="2"/>
    <d v="2024-09-29T00:00:00"/>
    <x v="1"/>
    <n v="10"/>
    <x v="0"/>
    <s v="No"/>
    <s v="-"/>
    <x v="0"/>
    <n v="20"/>
    <n v="10"/>
    <n v="20"/>
  </r>
  <r>
    <n v="3448"/>
    <x v="210"/>
    <x v="1"/>
    <d v="2024-09-30T00:00:00"/>
    <x v="0"/>
    <n v="5"/>
    <x v="2"/>
    <s v="No"/>
    <s v="-"/>
    <x v="1"/>
    <n v="0"/>
    <n v="0"/>
    <n v="5"/>
  </r>
  <r>
    <n v="3449"/>
    <x v="211"/>
    <x v="0"/>
    <d v="2024-10-01T00:00:00"/>
    <x v="1"/>
    <n v="15"/>
    <x v="0"/>
    <s v="Yes"/>
    <n v="30"/>
    <x v="0"/>
    <n v="20"/>
    <n v="3"/>
    <n v="62"/>
  </r>
  <r>
    <n v="3450"/>
    <x v="212"/>
    <x v="2"/>
    <d v="2024-10-02T00:00:00"/>
    <x v="0"/>
    <n v="10"/>
    <x v="1"/>
    <s v="No"/>
    <s v="-"/>
    <x v="0"/>
    <n v="20"/>
    <n v="15"/>
    <n v="15"/>
  </r>
  <r>
    <n v="3451"/>
    <x v="213"/>
    <x v="1"/>
    <d v="2024-10-03T00:00:00"/>
    <x v="1"/>
    <n v="5"/>
    <x v="0"/>
    <s v="No"/>
    <s v="-"/>
    <x v="1"/>
    <n v="0"/>
    <n v="1"/>
    <n v="4"/>
  </r>
  <r>
    <n v="3452"/>
    <x v="191"/>
    <x v="0"/>
    <d v="2024-10-04T00:00:00"/>
    <x v="0"/>
    <n v="15"/>
    <x v="2"/>
    <s v="Yes"/>
    <n v="30"/>
    <x v="0"/>
    <n v="20"/>
    <n v="7"/>
    <n v="58"/>
  </r>
  <r>
    <n v="3453"/>
    <x v="45"/>
    <x v="2"/>
    <d v="2024-10-05T00:00:00"/>
    <x v="1"/>
    <n v="10"/>
    <x v="0"/>
    <s v="No"/>
    <s v="-"/>
    <x v="0"/>
    <n v="20"/>
    <n v="10"/>
    <n v="20"/>
  </r>
  <r>
    <n v="3454"/>
    <x v="214"/>
    <x v="1"/>
    <d v="2024-10-06T00:00:00"/>
    <x v="0"/>
    <n v="5"/>
    <x v="1"/>
    <s v="No"/>
    <s v="-"/>
    <x v="1"/>
    <n v="0"/>
    <n v="0"/>
    <n v="5"/>
  </r>
  <r>
    <n v="3455"/>
    <x v="215"/>
    <x v="0"/>
    <d v="2024-10-07T00:00:00"/>
    <x v="1"/>
    <n v="15"/>
    <x v="0"/>
    <s v="Yes"/>
    <n v="30"/>
    <x v="0"/>
    <n v="20"/>
    <n v="20"/>
    <n v="45"/>
  </r>
  <r>
    <n v="3456"/>
    <x v="216"/>
    <x v="2"/>
    <d v="2024-10-08T00:00:00"/>
    <x v="0"/>
    <n v="10"/>
    <x v="2"/>
    <s v="No"/>
    <s v="-"/>
    <x v="0"/>
    <n v="20"/>
    <n v="15"/>
    <n v="15"/>
  </r>
  <r>
    <n v="3457"/>
    <x v="217"/>
    <x v="1"/>
    <d v="2024-10-09T00:00:00"/>
    <x v="1"/>
    <n v="5"/>
    <x v="0"/>
    <s v="No"/>
    <s v="-"/>
    <x v="1"/>
    <n v="0"/>
    <n v="1"/>
    <n v="4"/>
  </r>
  <r>
    <n v="3458"/>
    <x v="218"/>
    <x v="0"/>
    <d v="2024-10-10T00:00:00"/>
    <x v="0"/>
    <n v="15"/>
    <x v="1"/>
    <s v="Yes"/>
    <n v="30"/>
    <x v="0"/>
    <n v="20"/>
    <n v="3"/>
    <n v="62"/>
  </r>
  <r>
    <n v="3459"/>
    <x v="219"/>
    <x v="2"/>
    <d v="2024-10-11T00:00:00"/>
    <x v="1"/>
    <n v="10"/>
    <x v="0"/>
    <s v="No"/>
    <s v="-"/>
    <x v="0"/>
    <n v="20"/>
    <n v="10"/>
    <n v="20"/>
  </r>
  <r>
    <n v="3460"/>
    <x v="127"/>
    <x v="1"/>
    <d v="2024-10-12T00:00:00"/>
    <x v="0"/>
    <n v="5"/>
    <x v="2"/>
    <s v="No"/>
    <s v="-"/>
    <x v="1"/>
    <n v="0"/>
    <n v="0"/>
    <n v="5"/>
  </r>
  <r>
    <n v="3461"/>
    <x v="220"/>
    <x v="0"/>
    <d v="2024-10-13T00:00:00"/>
    <x v="1"/>
    <n v="15"/>
    <x v="0"/>
    <s v="Yes"/>
    <n v="30"/>
    <x v="0"/>
    <n v="20"/>
    <n v="15"/>
    <n v="50"/>
  </r>
  <r>
    <n v="3462"/>
    <x v="221"/>
    <x v="2"/>
    <d v="2024-10-14T00:00:00"/>
    <x v="0"/>
    <n v="10"/>
    <x v="1"/>
    <s v="No"/>
    <s v="-"/>
    <x v="0"/>
    <n v="20"/>
    <n v="15"/>
    <n v="15"/>
  </r>
  <r>
    <n v="3463"/>
    <x v="222"/>
    <x v="1"/>
    <d v="2024-10-15T00:00:00"/>
    <x v="1"/>
    <n v="5"/>
    <x v="0"/>
    <s v="No"/>
    <s v="-"/>
    <x v="1"/>
    <n v="0"/>
    <n v="1"/>
    <n v="4"/>
  </r>
  <r>
    <n v="3464"/>
    <x v="223"/>
    <x v="0"/>
    <d v="2024-10-16T00:00:00"/>
    <x v="0"/>
    <n v="15"/>
    <x v="2"/>
    <s v="Yes"/>
    <n v="30"/>
    <x v="0"/>
    <n v="20"/>
    <n v="7"/>
    <n v="58"/>
  </r>
  <r>
    <n v="3465"/>
    <x v="224"/>
    <x v="2"/>
    <d v="2024-10-17T00:00:00"/>
    <x v="1"/>
    <n v="10"/>
    <x v="0"/>
    <s v="No"/>
    <s v="-"/>
    <x v="0"/>
    <n v="20"/>
    <n v="10"/>
    <n v="20"/>
  </r>
  <r>
    <n v="3466"/>
    <x v="225"/>
    <x v="1"/>
    <d v="2024-10-18T00:00:00"/>
    <x v="0"/>
    <n v="5"/>
    <x v="1"/>
    <s v="No"/>
    <s v="-"/>
    <x v="1"/>
    <n v="0"/>
    <n v="0"/>
    <n v="5"/>
  </r>
  <r>
    <n v="3467"/>
    <x v="226"/>
    <x v="0"/>
    <d v="2024-10-19T00:00:00"/>
    <x v="1"/>
    <n v="15"/>
    <x v="0"/>
    <s v="Yes"/>
    <n v="30"/>
    <x v="0"/>
    <n v="20"/>
    <n v="15"/>
    <n v="50"/>
  </r>
  <r>
    <n v="3468"/>
    <x v="227"/>
    <x v="2"/>
    <d v="2024-10-20T00:00:00"/>
    <x v="0"/>
    <n v="10"/>
    <x v="2"/>
    <s v="No"/>
    <s v="-"/>
    <x v="0"/>
    <n v="20"/>
    <n v="12"/>
    <n v="18"/>
  </r>
  <r>
    <n v="3469"/>
    <x v="228"/>
    <x v="1"/>
    <d v="2024-10-21T00:00:00"/>
    <x v="1"/>
    <n v="5"/>
    <x v="0"/>
    <s v="No"/>
    <s v="-"/>
    <x v="1"/>
    <n v="0"/>
    <n v="2"/>
    <n v="3"/>
  </r>
  <r>
    <n v="3470"/>
    <x v="229"/>
    <x v="0"/>
    <d v="2024-10-22T00:00:00"/>
    <x v="0"/>
    <n v="15"/>
    <x v="1"/>
    <s v="Yes"/>
    <n v="30"/>
    <x v="0"/>
    <n v="20"/>
    <n v="5"/>
    <n v="60"/>
  </r>
  <r>
    <n v="3471"/>
    <x v="230"/>
    <x v="2"/>
    <d v="2024-10-23T00:00:00"/>
    <x v="1"/>
    <n v="10"/>
    <x v="0"/>
    <s v="No"/>
    <s v="-"/>
    <x v="0"/>
    <n v="20"/>
    <n v="10"/>
    <n v="20"/>
  </r>
  <r>
    <n v="3472"/>
    <x v="231"/>
    <x v="1"/>
    <d v="2024-10-24T00:00:00"/>
    <x v="0"/>
    <n v="5"/>
    <x v="2"/>
    <s v="No"/>
    <s v="-"/>
    <x v="1"/>
    <n v="0"/>
    <n v="0"/>
    <n v="5"/>
  </r>
  <r>
    <n v="3473"/>
    <x v="140"/>
    <x v="0"/>
    <d v="2024-10-25T00:00:00"/>
    <x v="1"/>
    <n v="15"/>
    <x v="0"/>
    <s v="Yes"/>
    <n v="30"/>
    <x v="0"/>
    <n v="20"/>
    <n v="3"/>
    <n v="62"/>
  </r>
  <r>
    <n v="3474"/>
    <x v="232"/>
    <x v="2"/>
    <d v="2024-10-26T00:00:00"/>
    <x v="0"/>
    <n v="10"/>
    <x v="1"/>
    <s v="No"/>
    <s v="-"/>
    <x v="0"/>
    <n v="20"/>
    <n v="15"/>
    <n v="15"/>
  </r>
  <r>
    <n v="3475"/>
    <x v="233"/>
    <x v="1"/>
    <d v="2024-10-27T00:00:00"/>
    <x v="1"/>
    <n v="5"/>
    <x v="0"/>
    <s v="No"/>
    <s v="-"/>
    <x v="1"/>
    <n v="0"/>
    <n v="1"/>
    <n v="4"/>
  </r>
  <r>
    <n v="3476"/>
    <x v="234"/>
    <x v="0"/>
    <d v="2024-10-28T00:00:00"/>
    <x v="0"/>
    <n v="15"/>
    <x v="2"/>
    <s v="Yes"/>
    <n v="30"/>
    <x v="0"/>
    <n v="20"/>
    <n v="7"/>
    <n v="58"/>
  </r>
  <r>
    <n v="3477"/>
    <x v="235"/>
    <x v="2"/>
    <d v="2024-10-29T00:00:00"/>
    <x v="1"/>
    <n v="10"/>
    <x v="0"/>
    <s v="No"/>
    <s v="-"/>
    <x v="0"/>
    <n v="20"/>
    <n v="10"/>
    <n v="20"/>
  </r>
  <r>
    <n v="3478"/>
    <x v="236"/>
    <x v="1"/>
    <d v="2024-10-30T00:00:00"/>
    <x v="0"/>
    <n v="5"/>
    <x v="1"/>
    <s v="No"/>
    <s v="-"/>
    <x v="1"/>
    <n v="0"/>
    <n v="0"/>
    <n v="5"/>
  </r>
  <r>
    <n v="3479"/>
    <x v="237"/>
    <x v="0"/>
    <d v="2024-10-31T00:00:00"/>
    <x v="1"/>
    <n v="15"/>
    <x v="0"/>
    <s v="Yes"/>
    <n v="30"/>
    <x v="0"/>
    <n v="20"/>
    <n v="20"/>
    <n v="45"/>
  </r>
  <r>
    <n v="3480"/>
    <x v="238"/>
    <x v="2"/>
    <d v="2024-11-01T00:00:00"/>
    <x v="0"/>
    <n v="10"/>
    <x v="2"/>
    <s v="No"/>
    <s v="-"/>
    <x v="0"/>
    <n v="20"/>
    <n v="15"/>
    <n v="15"/>
  </r>
  <r>
    <n v="3481"/>
    <x v="239"/>
    <x v="1"/>
    <d v="2024-11-02T00:00:00"/>
    <x v="1"/>
    <n v="5"/>
    <x v="0"/>
    <s v="No"/>
    <s v="-"/>
    <x v="1"/>
    <n v="0"/>
    <n v="1"/>
    <n v="4"/>
  </r>
  <r>
    <n v="3482"/>
    <x v="240"/>
    <x v="0"/>
    <d v="2024-11-03T00:00:00"/>
    <x v="0"/>
    <n v="15"/>
    <x v="1"/>
    <s v="Yes"/>
    <n v="30"/>
    <x v="0"/>
    <n v="20"/>
    <n v="3"/>
    <n v="62"/>
  </r>
  <r>
    <n v="3483"/>
    <x v="241"/>
    <x v="2"/>
    <d v="2024-11-04T00:00:00"/>
    <x v="1"/>
    <n v="10"/>
    <x v="0"/>
    <s v="No"/>
    <s v="-"/>
    <x v="0"/>
    <n v="20"/>
    <n v="10"/>
    <n v="20"/>
  </r>
  <r>
    <n v="3484"/>
    <x v="242"/>
    <x v="1"/>
    <d v="2024-11-05T00:00:00"/>
    <x v="0"/>
    <n v="5"/>
    <x v="2"/>
    <s v="No"/>
    <s v="-"/>
    <x v="1"/>
    <n v="0"/>
    <n v="0"/>
    <n v="5"/>
  </r>
  <r>
    <n v="3485"/>
    <x v="243"/>
    <x v="0"/>
    <d v="2024-11-06T00:00:00"/>
    <x v="1"/>
    <n v="15"/>
    <x v="0"/>
    <s v="Yes"/>
    <n v="30"/>
    <x v="0"/>
    <n v="20"/>
    <n v="15"/>
    <n v="50"/>
  </r>
  <r>
    <n v="3486"/>
    <x v="244"/>
    <x v="1"/>
    <d v="2024-11-07T00:00:00"/>
    <x v="0"/>
    <n v="5"/>
    <x v="0"/>
    <s v="No"/>
    <s v="-"/>
    <x v="1"/>
    <n v="0"/>
    <n v="0"/>
    <n v="5"/>
  </r>
  <r>
    <n v="3487"/>
    <x v="245"/>
    <x v="0"/>
    <d v="2024-11-08T00:00:00"/>
    <x v="1"/>
    <n v="15"/>
    <x v="2"/>
    <s v="Yes"/>
    <n v="30"/>
    <x v="0"/>
    <n v="20"/>
    <n v="7"/>
    <n v="58"/>
  </r>
  <r>
    <n v="3488"/>
    <x v="246"/>
    <x v="2"/>
    <d v="2024-11-09T00:00:00"/>
    <x v="0"/>
    <n v="10"/>
    <x v="1"/>
    <s v="No"/>
    <s v="-"/>
    <x v="0"/>
    <n v="20"/>
    <n v="10"/>
    <n v="20"/>
  </r>
  <r>
    <n v="3489"/>
    <x v="247"/>
    <x v="1"/>
    <d v="2024-11-10T00:00:00"/>
    <x v="1"/>
    <n v="5"/>
    <x v="2"/>
    <s v="No"/>
    <s v="-"/>
    <x v="1"/>
    <n v="0"/>
    <n v="1"/>
    <n v="4"/>
  </r>
  <r>
    <n v="3490"/>
    <x v="248"/>
    <x v="0"/>
    <d v="2024-11-11T00:00:00"/>
    <x v="0"/>
    <n v="15"/>
    <x v="0"/>
    <s v="Yes"/>
    <n v="30"/>
    <x v="0"/>
    <n v="20"/>
    <n v="15"/>
    <n v="50"/>
  </r>
  <r>
    <n v="3491"/>
    <x v="249"/>
    <x v="2"/>
    <d v="2024-11-12T00:00:00"/>
    <x v="1"/>
    <n v="10"/>
    <x v="0"/>
    <s v="No"/>
    <s v="-"/>
    <x v="0"/>
    <n v="20"/>
    <n v="5"/>
    <n v="25"/>
  </r>
  <r>
    <n v="3492"/>
    <x v="250"/>
    <x v="1"/>
    <d v="2024-11-13T00:00:00"/>
    <x v="0"/>
    <n v="5"/>
    <x v="1"/>
    <s v="No"/>
    <s v="-"/>
    <x v="1"/>
    <n v="0"/>
    <n v="0"/>
    <n v="5"/>
  </r>
  <r>
    <n v="3493"/>
    <x v="251"/>
    <x v="0"/>
    <d v="2024-11-14T00:00:00"/>
    <x v="1"/>
    <n v="15"/>
    <x v="2"/>
    <s v="Yes"/>
    <n v="30"/>
    <x v="0"/>
    <n v="20"/>
    <n v="20"/>
    <n v="45"/>
  </r>
  <r>
    <n v="3494"/>
    <x v="252"/>
    <x v="2"/>
    <d v="2024-11-15T00:00:00"/>
    <x v="0"/>
    <n v="10"/>
    <x v="2"/>
    <s v="No"/>
    <s v="-"/>
    <x v="0"/>
    <n v="20"/>
    <n v="12"/>
    <n v="18"/>
  </r>
  <r>
    <n v="3495"/>
    <x v="253"/>
    <x v="1"/>
    <d v="2024-11-16T00:00:00"/>
    <x v="1"/>
    <n v="5"/>
    <x v="0"/>
    <s v="No"/>
    <s v="-"/>
    <x v="1"/>
    <n v="0"/>
    <n v="2"/>
    <n v="3"/>
  </r>
  <r>
    <n v="3496"/>
    <x v="254"/>
    <x v="0"/>
    <d v="2024-11-17T00:00:00"/>
    <x v="0"/>
    <n v="15"/>
    <x v="1"/>
    <s v="Yes"/>
    <n v="30"/>
    <x v="0"/>
    <n v="20"/>
    <n v="5"/>
    <n v="60"/>
  </r>
  <r>
    <n v="3497"/>
    <x v="255"/>
    <x v="2"/>
    <d v="2024-11-18T00:00:00"/>
    <x v="1"/>
    <n v="10"/>
    <x v="0"/>
    <s v="No"/>
    <s v="-"/>
    <x v="0"/>
    <n v="20"/>
    <n v="10"/>
    <n v="20"/>
  </r>
  <r>
    <n v="3498"/>
    <x v="256"/>
    <x v="1"/>
    <d v="2024-11-19T00:00:00"/>
    <x v="0"/>
    <n v="5"/>
    <x v="2"/>
    <s v="No"/>
    <s v="-"/>
    <x v="1"/>
    <n v="0"/>
    <n v="0"/>
    <n v="5"/>
  </r>
  <r>
    <n v="3499"/>
    <x v="257"/>
    <x v="0"/>
    <d v="2024-11-20T00:00:00"/>
    <x v="1"/>
    <n v="15"/>
    <x v="0"/>
    <s v="Yes"/>
    <n v="30"/>
    <x v="0"/>
    <n v="20"/>
    <n v="3"/>
    <n v="62"/>
  </r>
  <r>
    <n v="3500"/>
    <x v="258"/>
    <x v="2"/>
    <d v="2024-11-21T00:00:00"/>
    <x v="0"/>
    <n v="10"/>
    <x v="1"/>
    <s v="No"/>
    <s v="-"/>
    <x v="0"/>
    <n v="20"/>
    <n v="15"/>
    <n v="15"/>
  </r>
  <r>
    <n v="3501"/>
    <x v="259"/>
    <x v="1"/>
    <d v="2024-11-22T00:00:00"/>
    <x v="1"/>
    <n v="5"/>
    <x v="0"/>
    <s v="No"/>
    <s v="-"/>
    <x v="1"/>
    <n v="0"/>
    <n v="1"/>
    <n v="4"/>
  </r>
  <r>
    <n v="3502"/>
    <x v="260"/>
    <x v="0"/>
    <d v="2024-11-23T00:00:00"/>
    <x v="0"/>
    <n v="15"/>
    <x v="2"/>
    <s v="Yes"/>
    <n v="30"/>
    <x v="0"/>
    <n v="20"/>
    <n v="7"/>
    <n v="58"/>
  </r>
  <r>
    <n v="3503"/>
    <x v="119"/>
    <x v="2"/>
    <d v="2024-11-24T00:00:00"/>
    <x v="1"/>
    <n v="10"/>
    <x v="0"/>
    <s v="No"/>
    <s v="-"/>
    <x v="0"/>
    <n v="20"/>
    <n v="10"/>
    <n v="20"/>
  </r>
  <r>
    <n v="3504"/>
    <x v="261"/>
    <x v="1"/>
    <d v="2024-11-25T00:00:00"/>
    <x v="0"/>
    <n v="5"/>
    <x v="1"/>
    <s v="No"/>
    <s v="-"/>
    <x v="1"/>
    <n v="0"/>
    <n v="0"/>
    <n v="5"/>
  </r>
  <r>
    <n v="3505"/>
    <x v="262"/>
    <x v="0"/>
    <d v="2024-11-26T00:00:00"/>
    <x v="1"/>
    <n v="15"/>
    <x v="0"/>
    <s v="Yes"/>
    <n v="30"/>
    <x v="0"/>
    <n v="20"/>
    <n v="20"/>
    <n v="45"/>
  </r>
  <r>
    <n v="3506"/>
    <x v="263"/>
    <x v="2"/>
    <d v="2024-11-27T00:00:00"/>
    <x v="0"/>
    <n v="10"/>
    <x v="2"/>
    <s v="No"/>
    <s v="-"/>
    <x v="0"/>
    <n v="20"/>
    <n v="15"/>
    <n v="15"/>
  </r>
  <r>
    <n v="3507"/>
    <x v="264"/>
    <x v="1"/>
    <d v="2024-11-28T00:00:00"/>
    <x v="1"/>
    <n v="5"/>
    <x v="0"/>
    <s v="No"/>
    <s v="-"/>
    <x v="1"/>
    <n v="0"/>
    <n v="1"/>
    <n v="4"/>
  </r>
  <r>
    <n v="3508"/>
    <x v="265"/>
    <x v="0"/>
    <d v="2024-11-29T00:00:00"/>
    <x v="0"/>
    <n v="15"/>
    <x v="1"/>
    <s v="Yes"/>
    <n v="30"/>
    <x v="0"/>
    <n v="20"/>
    <n v="3"/>
    <n v="62"/>
  </r>
  <r>
    <n v="3509"/>
    <x v="266"/>
    <x v="2"/>
    <d v="2024-11-30T00:00:00"/>
    <x v="1"/>
    <n v="10"/>
    <x v="0"/>
    <s v="No"/>
    <s v="-"/>
    <x v="0"/>
    <n v="20"/>
    <n v="10"/>
    <n v="20"/>
  </r>
  <r>
    <n v="3510"/>
    <x v="267"/>
    <x v="1"/>
    <d v="2024-12-01T00:00:00"/>
    <x v="0"/>
    <n v="5"/>
    <x v="2"/>
    <s v="No"/>
    <s v="-"/>
    <x v="1"/>
    <n v="0"/>
    <n v="0"/>
    <n v="5"/>
  </r>
  <r>
    <n v="3511"/>
    <x v="268"/>
    <x v="0"/>
    <d v="2024-12-02T00:00:00"/>
    <x v="1"/>
    <n v="15"/>
    <x v="0"/>
    <s v="Yes"/>
    <n v="30"/>
    <x v="0"/>
    <n v="20"/>
    <n v="15"/>
    <n v="50"/>
  </r>
  <r>
    <n v="3512"/>
    <x v="269"/>
    <x v="2"/>
    <d v="2024-12-03T00:00:00"/>
    <x v="0"/>
    <n v="10"/>
    <x v="1"/>
    <s v="No"/>
    <s v="-"/>
    <x v="0"/>
    <n v="20"/>
    <n v="15"/>
    <n v="15"/>
  </r>
  <r>
    <n v="3513"/>
    <x v="270"/>
    <x v="1"/>
    <d v="2024-12-04T00:00:00"/>
    <x v="1"/>
    <n v="5"/>
    <x v="0"/>
    <s v="No"/>
    <s v="-"/>
    <x v="1"/>
    <n v="0"/>
    <n v="1"/>
    <n v="4"/>
  </r>
  <r>
    <n v="3514"/>
    <x v="271"/>
    <x v="0"/>
    <d v="2024-12-05T00:00:00"/>
    <x v="0"/>
    <n v="15"/>
    <x v="2"/>
    <s v="Yes"/>
    <n v="30"/>
    <x v="0"/>
    <n v="20"/>
    <n v="7"/>
    <n v="58"/>
  </r>
  <r>
    <n v="3515"/>
    <x v="130"/>
    <x v="2"/>
    <d v="2024-12-06T00:00:00"/>
    <x v="1"/>
    <n v="10"/>
    <x v="0"/>
    <s v="No"/>
    <s v="-"/>
    <x v="0"/>
    <n v="20"/>
    <n v="10"/>
    <n v="20"/>
  </r>
  <r>
    <n v="3516"/>
    <x v="131"/>
    <x v="1"/>
    <d v="2024-12-07T00:00:00"/>
    <x v="0"/>
    <n v="5"/>
    <x v="1"/>
    <s v="No"/>
    <s v="-"/>
    <x v="1"/>
    <n v="0"/>
    <n v="0"/>
    <n v="5"/>
  </r>
  <r>
    <n v="3517"/>
    <x v="181"/>
    <x v="0"/>
    <d v="2024-12-08T00:00:00"/>
    <x v="1"/>
    <n v="15"/>
    <x v="0"/>
    <s v="Yes"/>
    <n v="30"/>
    <x v="0"/>
    <n v="20"/>
    <n v="20"/>
    <n v="45"/>
  </r>
  <r>
    <n v="3518"/>
    <x v="272"/>
    <x v="2"/>
    <d v="2024-12-09T00:00:00"/>
    <x v="0"/>
    <n v="10"/>
    <x v="2"/>
    <s v="No"/>
    <s v="-"/>
    <x v="0"/>
    <n v="20"/>
    <n v="12"/>
    <n v="18"/>
  </r>
  <r>
    <n v="3519"/>
    <x v="273"/>
    <x v="1"/>
    <d v="2024-12-10T00:00:00"/>
    <x v="1"/>
    <n v="5"/>
    <x v="0"/>
    <s v="No"/>
    <s v="-"/>
    <x v="1"/>
    <n v="0"/>
    <n v="2"/>
    <n v="3"/>
  </r>
  <r>
    <n v="3520"/>
    <x v="274"/>
    <x v="0"/>
    <d v="2024-12-11T00:00:00"/>
    <x v="0"/>
    <n v="15"/>
    <x v="1"/>
    <s v="Yes"/>
    <n v="30"/>
    <x v="0"/>
    <n v="20"/>
    <n v="5"/>
    <n v="60"/>
  </r>
  <r>
    <n v="3521"/>
    <x v="275"/>
    <x v="2"/>
    <d v="2024-12-12T00:00:00"/>
    <x v="1"/>
    <n v="10"/>
    <x v="0"/>
    <s v="No"/>
    <s v="-"/>
    <x v="0"/>
    <n v="20"/>
    <n v="10"/>
    <n v="20"/>
  </r>
  <r>
    <n v="3522"/>
    <x v="276"/>
    <x v="1"/>
    <d v="2024-12-13T00:00:00"/>
    <x v="0"/>
    <n v="5"/>
    <x v="2"/>
    <s v="No"/>
    <s v="-"/>
    <x v="1"/>
    <n v="0"/>
    <n v="0"/>
    <n v="5"/>
  </r>
  <r>
    <n v="3523"/>
    <x v="277"/>
    <x v="0"/>
    <d v="2024-12-14T00:00:00"/>
    <x v="1"/>
    <n v="15"/>
    <x v="0"/>
    <s v="Yes"/>
    <n v="30"/>
    <x v="0"/>
    <n v="20"/>
    <n v="3"/>
    <n v="62"/>
  </r>
  <r>
    <n v="3524"/>
    <x v="278"/>
    <x v="2"/>
    <d v="2024-12-15T00:00:00"/>
    <x v="0"/>
    <n v="10"/>
    <x v="1"/>
    <s v="No"/>
    <s v="-"/>
    <x v="0"/>
    <n v="20"/>
    <n v="15"/>
    <n v="15"/>
  </r>
  <r>
    <n v="3525"/>
    <x v="279"/>
    <x v="1"/>
    <d v="2024-12-16T00:00:00"/>
    <x v="1"/>
    <n v="5"/>
    <x v="0"/>
    <s v="No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DE3D2-8809-43BA-90A5-C4915898053F}" name="Tabela dinâ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2:C4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9508C-AF92-4FD4-939E-E8B8BF82C4A8}" name="Tabela dinâmica6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1"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4" type="button" dataOnly="0" labelOnly="1" outline="0"/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4" type="button" dataOnly="0" labelOnly="1" outline="0"/>
    </format>
    <format dxfId="51">
      <pivotArea dataOnly="0" labelOnly="1" grandRow="1" outline="0" fieldPosition="0"/>
    </format>
    <format dxfId="52">
      <pivotArea dataOnly="0" labelOnly="1" outline="0" axis="axisValues" fieldPosition="0"/>
    </format>
    <format dxfId="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D34E2-418E-4477-9354-216C8D2545F5}" name="Tabela dinâmica2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164"/>
  </dataFields>
  <formats count="11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4" type="button" dataOnly="0" labelOnly="1" outline="0"/>
    </format>
    <format dxfId="19">
      <pivotArea dataOnly="0" labelOnly="1" grandRow="1" outline="0" fieldPosition="0"/>
    </format>
    <format dxfId="20">
      <pivotArea dataOnly="0" labelOnly="1" outline="0" axis="axisValues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4" type="button" dataOnly="0" labelOnly="1" outline="0"/>
    </format>
    <format dxfId="24">
      <pivotArea dataOnly="0" labelOnly="1" grandRow="1" outline="0" fieldPosition="0"/>
    </format>
    <format dxfId="25">
      <pivotArea dataOnly="0" labelOnly="1" outline="0" axis="axisValues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56CAD-CCD3-4E64-9F95-65FE31C0C008}" name="Tabela dinâmica1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B9:C1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4"/>
    <field x="6"/>
  </rowFields>
  <rowItems count="5">
    <i>
      <x/>
    </i>
    <i r="1">
      <x v="2"/>
    </i>
    <i>
      <x v="1"/>
    </i>
    <i r="1">
      <x v="2"/>
    </i>
    <i t="grand">
      <x/>
    </i>
  </rowItems>
  <colItems count="1">
    <i/>
  </colItems>
  <dataFields count="1">
    <dataField name="Soma de Total Value" fld="12" baseField="0" baseItem="0" numFmtId="44"/>
  </dataFields>
  <formats count="16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2">
      <pivotArea dataOnly="0" labelOnly="1" fieldPosition="0">
        <references count="2">
          <reference field="4" count="1" selected="0">
            <x v="0"/>
          </reference>
          <reference field="6" count="0"/>
        </references>
      </pivotArea>
    </format>
    <format dxfId="33">
      <pivotArea dataOnly="0" labelOnly="1" fieldPosition="0">
        <references count="2">
          <reference field="4" count="1" selected="0">
            <x v="1"/>
          </reference>
          <reference field="6" count="0"/>
        </references>
      </pivotArea>
    </format>
    <format dxfId="34">
      <pivotArea dataOnly="0" labelOnly="1" outline="0" axis="axisValues" fieldPosition="0"/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40">
      <pivotArea dataOnly="0" labelOnly="1" fieldPosition="0">
        <references count="2">
          <reference field="4" count="1" selected="0">
            <x v="0"/>
          </reference>
          <reference field="6" count="0"/>
        </references>
      </pivotArea>
    </format>
    <format dxfId="41">
      <pivotArea dataOnly="0" labelOnly="1" fieldPosition="0">
        <references count="2">
          <reference field="4" count="1" selected="0">
            <x v="1"/>
          </reference>
          <reference field="6" count="0"/>
        </references>
      </pivotArea>
    </format>
    <format dxfId="42">
      <pivotArea dataOnly="0" labelOnly="1" outline="0" axis="axisValues" fieldPosition="0"/>
    </format>
  </format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E2CFA7F-9AD4-439C-9711-0A4026C7BD79}" sourceName="Subscription Type">
  <pivotTables>
    <pivotTable tabId="5" name="Tabela dinâmica1"/>
    <pivotTable tabId="5" name="Tabela dinâmica2"/>
    <pivotTable tabId="5" name="Tabela dinâmica6"/>
    <pivotTable tabId="5" name="Tabela dinâmica7"/>
  </pivotTables>
  <data>
    <tabular pivotCacheId="19961626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A0746D4-2A7F-448F-8703-9E37971FAF75}" cache="SegmentaçãodeDados_Subscription_Type" caption="Subscription Type" style="SlicerStyleDark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3">
  <autoFilter ref="A1:M296" xr:uid="{34E0E886-4200-4B36-97B3-63DB74FF40A0}"/>
  <tableColumns count="13">
    <tableColumn id="1" xr3:uid="{C4A90516-688A-46BF-9167-EA16C2A8A652}" name="Subscriber ID" dataDxfId="152"/>
    <tableColumn id="2" xr3:uid="{53DD39D0-2220-4121-9E9D-4EAA7E151C0F}" name="Name" dataDxfId="151"/>
    <tableColumn id="3" xr3:uid="{4F5FF271-4C57-4BE0-8F2C-F82C8551625C}" name="Plan" dataDxfId="150"/>
    <tableColumn id="4" xr3:uid="{8C17EB93-79B9-4E55-B8F7-BEB82F8253E9}" name="Start Date" dataDxfId="149"/>
    <tableColumn id="5" xr3:uid="{48CEDF9B-1689-482A-A828-5CCE7713264A}" name="Auto Renewal" dataDxfId="148"/>
    <tableColumn id="6" xr3:uid="{78B82374-9AA7-4E38-AE4F-78CDE6C83720}" name="Subscription Price" dataDxfId="147" dataCellStyle="Moeda"/>
    <tableColumn id="7" xr3:uid="{F2433F68-AF33-49D0-B1FB-19A396074EDE}" name="Subscription Type" dataDxfId="146"/>
    <tableColumn id="8" xr3:uid="{FD4D9C95-F6E5-4933-9068-A71FF7DF9343}" name="EA Play Season Pass" dataDxfId="145"/>
    <tableColumn id="13" xr3:uid="{978DD0D2-834E-4CE4-A39B-30976086932F}" name="EA Play Season Pass_x000a_Price" dataDxfId="144" dataCellStyle="Moeda"/>
    <tableColumn id="9" xr3:uid="{6E29F111-C395-4580-9DAD-3407D9E8B1A4}" name="Minecraft Season Pass" dataDxfId="143"/>
    <tableColumn id="10" xr3:uid="{EF544EAA-7F25-4FD5-A10E-8E62804DB9E3}" name="Minecraft Season Pass Price" dataDxfId="142" dataCellStyle="Moeda"/>
    <tableColumn id="11" xr3:uid="{7F6EB64A-1F07-4E48-9F0F-AC7D9DCD26F8}" name="Coupon Value" dataDxfId="141" dataCellStyle="Moeda"/>
    <tableColumn id="12" xr3:uid="{2B04ABC8-DE6F-426E-ADC0-D8AFC68CA58E}" name="Total Value" dataDxfId="14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27" sqref="B2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27" sqref="B2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D5D1-29EE-4DD5-9E2D-AA49C3F1CC6F}">
  <sheetPr>
    <tabColor theme="3" tint="0.749992370372631"/>
  </sheetPr>
  <dimension ref="A5:L46"/>
  <sheetViews>
    <sheetView showGridLines="0" topLeftCell="A13" workbookViewId="0">
      <selection activeCell="B27" sqref="B27"/>
    </sheetView>
  </sheetViews>
  <sheetFormatPr defaultRowHeight="14.4" x14ac:dyDescent="0.3"/>
  <cols>
    <col min="1" max="1" width="3.44140625" customWidth="1"/>
    <col min="2" max="2" width="17.88671875" bestFit="1" customWidth="1"/>
    <col min="3" max="3" width="34.109375" bestFit="1" customWidth="1"/>
    <col min="8" max="8" width="11.88671875" bestFit="1" customWidth="1"/>
  </cols>
  <sheetData>
    <row r="5" spans="1:12" x14ac:dyDescent="0.3">
      <c r="A5" s="15"/>
      <c r="B5" s="15" t="s">
        <v>316</v>
      </c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x14ac:dyDescent="0.3">
      <c r="A6" s="15"/>
      <c r="B6" s="15" t="s">
        <v>317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3">
      <c r="A9" s="15"/>
      <c r="B9" s="16" t="s">
        <v>313</v>
      </c>
      <c r="C9" s="15" t="s">
        <v>315</v>
      </c>
      <c r="D9" s="15"/>
      <c r="E9" s="15"/>
      <c r="F9" s="15"/>
      <c r="G9" s="15"/>
      <c r="H9" s="15"/>
      <c r="I9" s="15"/>
      <c r="J9" s="15"/>
      <c r="K9" s="15"/>
      <c r="L9" s="15"/>
    </row>
    <row r="10" spans="1:12" x14ac:dyDescent="0.3">
      <c r="A10" s="15"/>
      <c r="B10" s="17" t="s">
        <v>23</v>
      </c>
      <c r="C10" s="18">
        <v>806</v>
      </c>
      <c r="D10" s="15"/>
      <c r="E10" s="15"/>
      <c r="F10" s="15"/>
      <c r="G10" s="15"/>
      <c r="H10" s="15"/>
      <c r="I10" s="15"/>
      <c r="J10" s="15"/>
      <c r="K10" s="15"/>
      <c r="L10" s="15"/>
    </row>
    <row r="11" spans="1:12" x14ac:dyDescent="0.3">
      <c r="A11" s="15"/>
      <c r="B11" s="19" t="s">
        <v>27</v>
      </c>
      <c r="C11" s="18">
        <v>806</v>
      </c>
      <c r="D11" s="15"/>
      <c r="E11" s="15"/>
      <c r="F11" s="15"/>
      <c r="G11" s="15"/>
      <c r="H11" s="15"/>
      <c r="I11" s="15"/>
      <c r="J11" s="15"/>
      <c r="K11" s="15"/>
      <c r="L11" s="15"/>
    </row>
    <row r="12" spans="1:12" x14ac:dyDescent="0.3">
      <c r="A12" s="15"/>
      <c r="B12" s="17" t="s">
        <v>19</v>
      </c>
      <c r="C12" s="18">
        <v>1502</v>
      </c>
      <c r="D12" s="15"/>
      <c r="E12" s="15"/>
      <c r="F12" s="15"/>
      <c r="G12" s="15"/>
      <c r="H12" s="15"/>
      <c r="I12" s="15"/>
      <c r="J12" s="15"/>
      <c r="K12" s="15"/>
      <c r="L12" s="15"/>
    </row>
    <row r="13" spans="1:12" x14ac:dyDescent="0.3">
      <c r="A13" s="15"/>
      <c r="B13" s="19" t="s">
        <v>27</v>
      </c>
      <c r="C13" s="18">
        <v>1502</v>
      </c>
      <c r="D13" s="15"/>
      <c r="E13" s="15"/>
      <c r="F13" s="15"/>
      <c r="G13" s="15"/>
      <c r="H13" s="15"/>
      <c r="I13" s="15"/>
      <c r="J13" s="15"/>
      <c r="K13" s="15"/>
      <c r="L13" s="15"/>
    </row>
    <row r="14" spans="1:12" x14ac:dyDescent="0.3">
      <c r="A14" s="15"/>
      <c r="B14" s="17" t="s">
        <v>314</v>
      </c>
      <c r="C14" s="18">
        <v>2308</v>
      </c>
      <c r="D14" s="15"/>
      <c r="E14" s="15"/>
      <c r="F14" s="15"/>
      <c r="G14" s="15"/>
      <c r="H14" s="15"/>
      <c r="I14" s="15"/>
      <c r="J14" s="15"/>
      <c r="K14" s="15"/>
      <c r="L14" s="15"/>
    </row>
    <row r="15" spans="1:12" x14ac:dyDescent="0.3">
      <c r="A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x14ac:dyDescent="0.3">
      <c r="A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3">
      <c r="A17" s="15"/>
      <c r="B17" s="16" t="s">
        <v>16</v>
      </c>
      <c r="C17" s="15" t="s">
        <v>27</v>
      </c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3">
      <c r="A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">
      <c r="A19" s="15"/>
      <c r="B19" s="16" t="s">
        <v>313</v>
      </c>
      <c r="C19" s="15" t="s">
        <v>319</v>
      </c>
      <c r="E19" s="15"/>
      <c r="F19" s="15"/>
      <c r="G19" s="15"/>
      <c r="H19" s="15"/>
      <c r="I19" s="15"/>
      <c r="J19" s="15"/>
      <c r="K19" s="15"/>
      <c r="L19" s="15"/>
    </row>
    <row r="20" spans="1:12" x14ac:dyDescent="0.3">
      <c r="B20" s="17" t="s">
        <v>22</v>
      </c>
      <c r="C20" s="23">
        <v>0</v>
      </c>
    </row>
    <row r="21" spans="1:12" x14ac:dyDescent="0.3">
      <c r="B21" s="17" t="s">
        <v>26</v>
      </c>
      <c r="C21" s="23">
        <v>0</v>
      </c>
    </row>
    <row r="22" spans="1:12" x14ac:dyDescent="0.3">
      <c r="B22" s="17" t="s">
        <v>18</v>
      </c>
      <c r="C22" s="23">
        <v>990</v>
      </c>
    </row>
    <row r="23" spans="1:12" x14ac:dyDescent="0.3">
      <c r="B23" s="17" t="s">
        <v>314</v>
      </c>
      <c r="C23" s="23">
        <v>990</v>
      </c>
      <c r="H23" s="22">
        <f>GETPIVOTDATA("EA Play Season Pass
Price",$B$19,"Plan","Ultimate")</f>
        <v>990</v>
      </c>
    </row>
    <row r="27" spans="1:12" x14ac:dyDescent="0.3">
      <c r="B27" t="s">
        <v>320</v>
      </c>
    </row>
    <row r="30" spans="1:12" x14ac:dyDescent="0.3">
      <c r="B30" s="16" t="s">
        <v>16</v>
      </c>
      <c r="C30" s="15" t="s">
        <v>27</v>
      </c>
    </row>
    <row r="32" spans="1:12" x14ac:dyDescent="0.3">
      <c r="B32" s="16" t="s">
        <v>313</v>
      </c>
      <c r="C32" s="15" t="s">
        <v>321</v>
      </c>
    </row>
    <row r="33" spans="2:8" x14ac:dyDescent="0.3">
      <c r="B33" s="17" t="s">
        <v>22</v>
      </c>
      <c r="C33" s="23">
        <v>0</v>
      </c>
    </row>
    <row r="34" spans="2:8" x14ac:dyDescent="0.3">
      <c r="B34" s="17" t="s">
        <v>26</v>
      </c>
      <c r="C34" s="23">
        <v>480</v>
      </c>
    </row>
    <row r="35" spans="2:8" x14ac:dyDescent="0.3">
      <c r="B35" s="17" t="s">
        <v>18</v>
      </c>
      <c r="C35" s="23">
        <v>660</v>
      </c>
    </row>
    <row r="36" spans="2:8" x14ac:dyDescent="0.3">
      <c r="B36" s="17" t="s">
        <v>314</v>
      </c>
      <c r="C36" s="23">
        <v>1140</v>
      </c>
      <c r="H36" s="22">
        <f>GETPIVOTDATA("Minecraft Season Pass Price",$B$32)</f>
        <v>1140</v>
      </c>
    </row>
    <row r="40" spans="2:8" x14ac:dyDescent="0.3">
      <c r="B40" s="12" t="s">
        <v>16</v>
      </c>
      <c r="C40" t="s">
        <v>27</v>
      </c>
    </row>
    <row r="42" spans="2:8" x14ac:dyDescent="0.3">
      <c r="B42" s="12" t="s">
        <v>313</v>
      </c>
      <c r="C42" t="s">
        <v>321</v>
      </c>
    </row>
    <row r="43" spans="2:8" x14ac:dyDescent="0.3">
      <c r="B43" s="13" t="s">
        <v>22</v>
      </c>
      <c r="C43" s="14">
        <v>0</v>
      </c>
    </row>
    <row r="44" spans="2:8" x14ac:dyDescent="0.3">
      <c r="B44" s="13" t="s">
        <v>26</v>
      </c>
      <c r="C44" s="14">
        <v>480</v>
      </c>
    </row>
    <row r="45" spans="2:8" x14ac:dyDescent="0.3">
      <c r="B45" s="13" t="s">
        <v>18</v>
      </c>
      <c r="C45" s="14">
        <v>660</v>
      </c>
    </row>
    <row r="46" spans="2:8" x14ac:dyDescent="0.3">
      <c r="B46" s="13" t="s">
        <v>314</v>
      </c>
      <c r="C46" s="14">
        <v>1140</v>
      </c>
      <c r="H46" s="22">
        <f>GETPIVOTDATA("Minecraft Season Pass Price",$B$42)</f>
        <v>1140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5"/>
  <sheetViews>
    <sheetView showGridLines="0" tabSelected="1" zoomScale="80" zoomScaleNormal="80" workbookViewId="0">
      <selection activeCell="W10" sqref="W10"/>
    </sheetView>
  </sheetViews>
  <sheetFormatPr defaultRowHeight="14.4" x14ac:dyDescent="0.3"/>
  <cols>
    <col min="1" max="1" width="34.33203125" style="24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19" customFormat="1" x14ac:dyDescent="0.3">
      <c r="A1" s="24"/>
    </row>
    <row r="2" spans="1:19" customFormat="1" ht="8.25" customHeight="1" x14ac:dyDescent="0.3">
      <c r="A2" s="24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9" customFormat="1" ht="22.8" customHeight="1" x14ac:dyDescent="0.5">
      <c r="A3" s="24"/>
      <c r="C3" s="26" t="s">
        <v>318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ht="22.8" customHeight="1" x14ac:dyDescent="0.3">
      <c r="C4" s="21"/>
      <c r="D4" s="21"/>
      <c r="E4" s="21"/>
      <c r="F4" s="21"/>
      <c r="G4" s="21"/>
      <c r="H4" s="21"/>
      <c r="I4" s="21"/>
    </row>
    <row r="5" spans="1:19" ht="33" customHeight="1" x14ac:dyDescent="0.3">
      <c r="N5" s="20"/>
    </row>
    <row r="15" spans="1:19" ht="28.8" x14ac:dyDescent="0.55000000000000004">
      <c r="D15" s="25" t="s">
        <v>322</v>
      </c>
    </row>
  </sheetData>
  <mergeCells count="1">
    <mergeCell ref="C3:S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Calculos 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Milene Dias</cp:lastModifiedBy>
  <dcterms:created xsi:type="dcterms:W3CDTF">2024-12-19T13:13:10Z</dcterms:created>
  <dcterms:modified xsi:type="dcterms:W3CDTF">2026-10-08T15:56:31Z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